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4.xml" ContentType="application/vnd.openxmlformats-officedocument.spreadsheetml.chartsheet+xml"/>
  <Override PartName="/xl/worksheets/sheet7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8.xml" ContentType="application/vnd.openxmlformats-officedocument.spreadsheetml.worksheet+xml"/>
  <Override PartName="/xl/chartsheets/sheet7.xml" ContentType="application/vnd.openxmlformats-officedocument.spreadsheetml.chart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315" windowWidth="18195" windowHeight="11520" tabRatio="748"/>
  </bookViews>
  <sheets>
    <sheet name="Shrnuti EIB" sheetId="16" r:id="rId1"/>
    <sheet name="SummaryChart" sheetId="17" r:id="rId2"/>
    <sheet name="Souhrnny_graf_input" sheetId="18" state="hidden" r:id="rId3"/>
    <sheet name="SubIndexy" sheetId="19" r:id="rId4"/>
    <sheet name="SubIndexy_data" sheetId="21" state="hidden" r:id="rId5"/>
    <sheet name="Country" sheetId="23" r:id="rId6"/>
    <sheet name="Country_data" sheetId="24" state="hidden" r:id="rId7"/>
    <sheet name="EIB" sheetId="15" state="hidden" r:id="rId8"/>
    <sheet name="Pomocne" sheetId="2" state="hidden" r:id="rId9"/>
    <sheet name="Country_dynamics" sheetId="28" r:id="rId10"/>
    <sheet name="Country_dynamics_data" sheetId="29" state="hidden" r:id="rId11"/>
    <sheet name="LaborCosts" sheetId="26" r:id="rId12"/>
    <sheet name="PovertyRisk" sheetId="27" r:id="rId13"/>
    <sheet name="PISA_data" sheetId="31" state="hidden" r:id="rId14"/>
    <sheet name="PISA_testy" sheetId="30" r:id="rId15"/>
    <sheet name="Labor_data" sheetId="25" state="hidden" r:id="rId16"/>
  </sheets>
  <externalReferences>
    <externalReference r:id="rId17"/>
  </externalReferences>
  <definedNames>
    <definedName name="MetricDescTable">Pomocne!$H$1:$N$11</definedName>
    <definedName name="MetricTitle">Pomocne!$I$16</definedName>
    <definedName name="rngCountries">Souhrnny_graf_input!$A$3:$A$30</definedName>
    <definedName name="rngDescription">'Shrnuti EIB'!$B$2</definedName>
    <definedName name="rngIndicesList">SubIndexy_data!$G$24:$G$32</definedName>
    <definedName name="rngIndicesSelectedMetric">SubIndexy_data!$M$7</definedName>
    <definedName name="rngIndicesSelectedYear">SubIndexy_data!$M$4</definedName>
    <definedName name="rngIndicesTable">SubIndexy_data!$F$24:$J$32</definedName>
    <definedName name="rngIndicesYearList">SubIndexy_data!$K$4:$K$9</definedName>
    <definedName name="rngIndicesYearTable">SubIndexy_data!$J$4:$K$9</definedName>
    <definedName name="rngInputTable">Souhrnny_graf_input!$B$2:$J$30</definedName>
    <definedName name="rngMainTitle">'Shrnuti EIB'!$B$1</definedName>
    <definedName name="rngMetricDesc">Souhrnny_graf_input!$M$14:$N$23</definedName>
    <definedName name="rngSelectedYear" localSheetId="4">[1]Souhrnny_graf_input!$S$3</definedName>
    <definedName name="rngSelectedYear">Souhrnny_graf_input!$S$3</definedName>
    <definedName name="rngSourc2010">Souhrnny_graf_input!#REF!</definedName>
    <definedName name="rngSource2010">Souhrnny_graf_input!#REF!</definedName>
    <definedName name="rngSource2011">Souhrnny_graf_input!#REF!</definedName>
    <definedName name="rngSource2012">Souhrnny_graf_input!#REF!</definedName>
    <definedName name="rngSource2013">Souhrnny_graf_input!#REF!</definedName>
    <definedName name="rngSource2014">Souhrnny_graf_input!#REF!</definedName>
    <definedName name="rngSourceFinal">Souhrnny_graf_input!$B$2:$J$30</definedName>
    <definedName name="rngStates2010">Souhrnny_graf_input!#REF!</definedName>
    <definedName name="rngStates2011">Souhrnny_graf_input!#REF!</definedName>
    <definedName name="rngStates2012">Souhrnny_graf_input!#REF!</definedName>
    <definedName name="rngStates2013">Souhrnny_graf_input!#REF!</definedName>
    <definedName name="rngStates2014">Souhrnny_graf_input!#REF!</definedName>
    <definedName name="rngStatesFinal">Souhrnny_graf_input!$A$2:$A$30</definedName>
    <definedName name="rngSubIndices">SubIndexy_data!$F$23:$J$32</definedName>
    <definedName name="rngYears">Souhrnny_graf_input!$Q$3:$Q$8</definedName>
    <definedName name="rngYearsTable">Souhrnny_graf_input!$P$3:$Q$8</definedName>
    <definedName name="subBroadband2010">SubIndexy_data!#REF!</definedName>
    <definedName name="subBroadband2011">SubIndexy_data!#REF!</definedName>
    <definedName name="subBroadband2012">SubIndexy_data!#REF!</definedName>
    <definedName name="subBroadband2013">SubIndexy_data!#REF!</definedName>
    <definedName name="subBroadband2014">SubIndexy_data!#REF!</definedName>
    <definedName name="subDocuments2010">SubIndexy_data!#REF!</definedName>
    <definedName name="subDocuments2011">SubIndexy_data!#REF!</definedName>
    <definedName name="subDocuments2012">SubIndexy_data!#REF!</definedName>
    <definedName name="subDocuments2013">SubIndexy_data!#REF!</definedName>
    <definedName name="subDocuments2014">SubIndexy_data!#REF!</definedName>
    <definedName name="subEducExp2010">SubIndexy_data!#REF!</definedName>
    <definedName name="subEducExp2011">SubIndexy_data!#REF!</definedName>
    <definedName name="subEducExp2012">SubIndexy_data!#REF!</definedName>
    <definedName name="subEducExp2013">SubIndexy_data!#REF!</definedName>
    <definedName name="subEducExp2014">SubIndexy_data!#REF!</definedName>
    <definedName name="subEGovernment2010">SubIndexy_data!#REF!</definedName>
    <definedName name="subEGovernment2011">SubIndexy_data!#REF!</definedName>
    <definedName name="subEGovernment2012">SubIndexy_data!#REF!</definedName>
    <definedName name="subEGovernment2013">SubIndexy_data!#REF!</definedName>
    <definedName name="subEGovernment2014">SubIndexy_data!#REF!</definedName>
    <definedName name="subExports2010">SubIndexy_data!#REF!</definedName>
    <definedName name="subExports2011">SubIndexy_data!#REF!</definedName>
    <definedName name="subExports2012">SubIndexy_data!#REF!</definedName>
    <definedName name="subExports2013">SubIndexy_data!#REF!</definedName>
    <definedName name="subExports2014">SubIndexy_data!#REF!</definedName>
    <definedName name="subGraduates2010">SubIndexy_data!#REF!</definedName>
    <definedName name="subGraduates2011">SubIndexy_data!#REF!</definedName>
    <definedName name="subGraduates2012">SubIndexy_data!#REF!</definedName>
    <definedName name="subGraduates2013">SubIndexy_data!#REF!</definedName>
    <definedName name="subGraduates2014">SubIndexy_data!#REF!</definedName>
    <definedName name="subIndexFinal">SubIndexy_data!$B$1:$C$30</definedName>
    <definedName name="subIndexRank">SubIndexy_data!$B$3:$D$30</definedName>
    <definedName name="subPatents2010">SubIndexy_data!#REF!</definedName>
    <definedName name="subPatents2011">SubIndexy_data!#REF!</definedName>
    <definedName name="subPatents2012">SubIndexy_data!#REF!</definedName>
    <definedName name="subPatents2013">SubIndexy_data!#REF!</definedName>
    <definedName name="subPatents2014">SubIndexy_data!#REF!</definedName>
    <definedName name="subRND2010">SubIndexy_data!#REF!</definedName>
    <definedName name="subRND2011">SubIndexy_data!#REF!</definedName>
    <definedName name="subRND2012">SubIndexy_data!#REF!</definedName>
    <definedName name="subRND2013">SubIndexy_data!#REF!</definedName>
    <definedName name="subRND2014">SubIndexy_data!#REF!</definedName>
    <definedName name="subVentureCap2010">SubIndexy_data!#REF!</definedName>
    <definedName name="subVentureCap2011">SubIndexy_data!#REF!</definedName>
    <definedName name="subVentureCap2012">SubIndexy_data!#REF!</definedName>
    <definedName name="subVentureCap2013">SubIndexy_data!#REF!</definedName>
    <definedName name="subVentureCap2014">SubIndexy_data!#REF!</definedName>
    <definedName name="tblBroadband">EIB!$B$200:$AD$229</definedName>
    <definedName name="tblDocuments">EIB!$B$134:$AD$163</definedName>
    <definedName name="tblEducExp">EIB!$B$233:$AD$262</definedName>
    <definedName name="tbleGovernment">EIB!$B$299:$AD$328</definedName>
    <definedName name="tblEIB">EIB!$B$2:$AD$31</definedName>
    <definedName name="tblEnglishNames">Pomocne!$A$1:$C$28</definedName>
    <definedName name="tblExports">EIB!$B$266:$AD$295</definedName>
    <definedName name="tblGraduates">EIB!$B$101:$AD$130</definedName>
    <definedName name="tblMetricNames">Pomocne!$I$2:$I$11</definedName>
    <definedName name="tblOutput">'Shrnuti EIB'!$B$4:$P$33</definedName>
    <definedName name="tblPatents">EIB!$B$68:$AD$97</definedName>
    <definedName name="tblRaD">EIB!$B$35:$AD$64</definedName>
    <definedName name="tblVentureCap">EIB!$B$167:$AD$196</definedName>
  </definedNames>
  <calcPr calcId="145621" iterate="1" iterateCount="1"/>
</workbook>
</file>

<file path=xl/calcChain.xml><?xml version="1.0" encoding="utf-8"?>
<calcChain xmlns="http://schemas.openxmlformats.org/spreadsheetml/2006/main">
  <c r="I4" i="31" l="1"/>
  <c r="J4" i="31"/>
  <c r="K4" i="31"/>
  <c r="L4" i="31"/>
  <c r="I5" i="31"/>
  <c r="J5" i="31"/>
  <c r="K5" i="31"/>
  <c r="L5" i="31"/>
  <c r="I6" i="31"/>
  <c r="J6" i="31"/>
  <c r="K6" i="31"/>
  <c r="L6" i="31"/>
  <c r="I7" i="31"/>
  <c r="J7" i="31"/>
  <c r="K7" i="31"/>
  <c r="L7" i="31"/>
  <c r="I8" i="31"/>
  <c r="J8" i="31"/>
  <c r="K8" i="31"/>
  <c r="L8" i="31"/>
  <c r="I9" i="31"/>
  <c r="J9" i="31"/>
  <c r="K9" i="31"/>
  <c r="L9" i="31"/>
  <c r="I10" i="31"/>
  <c r="J10" i="31"/>
  <c r="K10" i="31"/>
  <c r="L10" i="31"/>
  <c r="I11" i="31"/>
  <c r="J11" i="31"/>
  <c r="K11" i="31"/>
  <c r="L11" i="31"/>
  <c r="I12" i="31"/>
  <c r="J12" i="31"/>
  <c r="K12" i="31"/>
  <c r="L12" i="31"/>
  <c r="I13" i="31"/>
  <c r="J13" i="31"/>
  <c r="K13" i="31"/>
  <c r="L13" i="31"/>
  <c r="I14" i="31"/>
  <c r="J14" i="31"/>
  <c r="K14" i="31"/>
  <c r="L14" i="31"/>
  <c r="I15" i="31"/>
  <c r="J15" i="31"/>
  <c r="K15" i="31"/>
  <c r="L15" i="31"/>
  <c r="I16" i="31"/>
  <c r="J16" i="31"/>
  <c r="K16" i="31"/>
  <c r="L16" i="31"/>
  <c r="I17" i="31"/>
  <c r="J17" i="31"/>
  <c r="K17" i="31"/>
  <c r="L17" i="31"/>
  <c r="I18" i="31"/>
  <c r="J18" i="31"/>
  <c r="K18" i="31"/>
  <c r="L18" i="31"/>
  <c r="I19" i="31"/>
  <c r="J19" i="31"/>
  <c r="K19" i="31"/>
  <c r="L19" i="31"/>
  <c r="I20" i="31"/>
  <c r="J20" i="31"/>
  <c r="K20" i="31"/>
  <c r="L20" i="31"/>
  <c r="I21" i="31"/>
  <c r="J21" i="31"/>
  <c r="K21" i="31"/>
  <c r="L21" i="31"/>
  <c r="I22" i="31"/>
  <c r="J22" i="31"/>
  <c r="K22" i="31"/>
  <c r="L22" i="31"/>
  <c r="I23" i="31"/>
  <c r="J23" i="31"/>
  <c r="K23" i="31"/>
  <c r="L23" i="31"/>
  <c r="I24" i="31"/>
  <c r="J24" i="31"/>
  <c r="K24" i="31"/>
  <c r="L24" i="31"/>
  <c r="I25" i="31"/>
  <c r="J25" i="31"/>
  <c r="K25" i="31"/>
  <c r="L25" i="31"/>
  <c r="I26" i="31"/>
  <c r="J26" i="31"/>
  <c r="K26" i="31"/>
  <c r="L26" i="31"/>
  <c r="I27" i="31"/>
  <c r="J27" i="31"/>
  <c r="K27" i="31"/>
  <c r="L27" i="31"/>
  <c r="I28" i="31"/>
  <c r="J28" i="31"/>
  <c r="K28" i="31"/>
  <c r="L28" i="31"/>
  <c r="I29" i="31"/>
  <c r="J29" i="31"/>
  <c r="K29" i="31"/>
  <c r="L29" i="31"/>
  <c r="J3" i="31"/>
  <c r="K3" i="31"/>
  <c r="L3" i="31"/>
  <c r="I3" i="31"/>
  <c r="E4" i="31" l="1"/>
  <c r="F4" i="31"/>
  <c r="G4" i="31"/>
  <c r="E5" i="31"/>
  <c r="F5" i="31"/>
  <c r="G5" i="31"/>
  <c r="E6" i="31"/>
  <c r="F6" i="31"/>
  <c r="G6" i="31"/>
  <c r="E7" i="31"/>
  <c r="F7" i="31"/>
  <c r="G7" i="31"/>
  <c r="E8" i="31"/>
  <c r="F8" i="31"/>
  <c r="G8" i="31"/>
  <c r="E9" i="31"/>
  <c r="F9" i="31"/>
  <c r="G9" i="31"/>
  <c r="E10" i="31"/>
  <c r="F10" i="31"/>
  <c r="G10" i="31"/>
  <c r="E11" i="31"/>
  <c r="F11" i="31"/>
  <c r="G11" i="31"/>
  <c r="E12" i="31"/>
  <c r="F12" i="31"/>
  <c r="G12" i="31"/>
  <c r="E13" i="31"/>
  <c r="F13" i="31"/>
  <c r="G13" i="31"/>
  <c r="E14" i="31"/>
  <c r="F14" i="31"/>
  <c r="G14" i="31"/>
  <c r="E15" i="31"/>
  <c r="F15" i="31"/>
  <c r="G15" i="31"/>
  <c r="E16" i="31"/>
  <c r="F16" i="31"/>
  <c r="G16" i="31"/>
  <c r="E17" i="31"/>
  <c r="F17" i="31"/>
  <c r="G17" i="31"/>
  <c r="E18" i="31"/>
  <c r="F18" i="31"/>
  <c r="G18" i="31"/>
  <c r="E19" i="31"/>
  <c r="F19" i="31"/>
  <c r="G19" i="31"/>
  <c r="E20" i="31"/>
  <c r="F20" i="31"/>
  <c r="G20" i="31"/>
  <c r="E21" i="31"/>
  <c r="F21" i="31"/>
  <c r="G21" i="31"/>
  <c r="E22" i="31"/>
  <c r="F22" i="31"/>
  <c r="G22" i="31"/>
  <c r="E23" i="31"/>
  <c r="F23" i="31"/>
  <c r="G23" i="31"/>
  <c r="E24" i="31"/>
  <c r="F24" i="31"/>
  <c r="G24" i="31"/>
  <c r="E25" i="31"/>
  <c r="F25" i="31"/>
  <c r="G25" i="31"/>
  <c r="E26" i="31"/>
  <c r="F26" i="31"/>
  <c r="G26" i="31"/>
  <c r="E27" i="31"/>
  <c r="F27" i="31"/>
  <c r="G27" i="31"/>
  <c r="E28" i="31"/>
  <c r="F28" i="31"/>
  <c r="G28" i="31"/>
  <c r="E29" i="31"/>
  <c r="F29" i="31"/>
  <c r="G29" i="31"/>
  <c r="G3" i="31"/>
  <c r="E3" i="31"/>
  <c r="F3" i="31"/>
  <c r="E63" i="31"/>
  <c r="H29" i="31" s="1"/>
  <c r="E62" i="31"/>
  <c r="H28" i="31" s="1"/>
  <c r="E61" i="31"/>
  <c r="H20" i="31" s="1"/>
  <c r="E60" i="31"/>
  <c r="H26" i="31" s="1"/>
  <c r="E59" i="31"/>
  <c r="H21" i="31" s="1"/>
  <c r="E58" i="31"/>
  <c r="H5" i="31" s="1"/>
  <c r="E57" i="31"/>
  <c r="H25" i="31" s="1"/>
  <c r="E56" i="31"/>
  <c r="H23" i="31" s="1"/>
  <c r="E55" i="31"/>
  <c r="H18" i="31" s="1"/>
  <c r="E54" i="31"/>
  <c r="H16" i="31" s="1"/>
  <c r="E53" i="31"/>
  <c r="H27" i="31" s="1"/>
  <c r="E52" i="31"/>
  <c r="H19" i="31" s="1"/>
  <c r="E51" i="31"/>
  <c r="H12" i="31" s="1"/>
  <c r="E50" i="31"/>
  <c r="H22" i="31" s="1"/>
  <c r="E49" i="31"/>
  <c r="H3" i="31" s="1"/>
  <c r="E48" i="31"/>
  <c r="H14" i="31" s="1"/>
  <c r="E47" i="31"/>
  <c r="H10" i="31" s="1"/>
  <c r="E46" i="31"/>
  <c r="H17" i="31" s="1"/>
  <c r="E45" i="31"/>
  <c r="H9" i="31" s="1"/>
  <c r="E44" i="31"/>
  <c r="H8" i="31" s="1"/>
  <c r="E43" i="31"/>
  <c r="H13" i="31" s="1"/>
  <c r="E42" i="31"/>
  <c r="H11" i="31" s="1"/>
  <c r="E41" i="31"/>
  <c r="H7" i="31" s="1"/>
  <c r="E40" i="31"/>
  <c r="H6" i="31" s="1"/>
  <c r="E39" i="31"/>
  <c r="H24" i="31" s="1"/>
  <c r="E38" i="31"/>
  <c r="H15" i="31" s="1"/>
  <c r="E37" i="31"/>
  <c r="H4" i="31" s="1"/>
  <c r="N4" i="25" l="1"/>
  <c r="O4" i="25"/>
  <c r="P4" i="25"/>
  <c r="N5" i="25"/>
  <c r="O5" i="25"/>
  <c r="P5" i="25"/>
  <c r="N6" i="25"/>
  <c r="O6" i="25"/>
  <c r="P6" i="25"/>
  <c r="N7" i="25"/>
  <c r="O7" i="25"/>
  <c r="P7" i="25"/>
  <c r="N8" i="25"/>
  <c r="O8" i="25"/>
  <c r="P8" i="25"/>
  <c r="N9" i="25"/>
  <c r="O9" i="25"/>
  <c r="P9" i="25"/>
  <c r="N10" i="25"/>
  <c r="O10" i="25"/>
  <c r="P10" i="25"/>
  <c r="N11" i="25"/>
  <c r="O11" i="25"/>
  <c r="P11" i="25"/>
  <c r="N12" i="25"/>
  <c r="O12" i="25"/>
  <c r="P12" i="25"/>
  <c r="N13" i="25"/>
  <c r="O13" i="25"/>
  <c r="P13" i="25"/>
  <c r="N14" i="25"/>
  <c r="O14" i="25"/>
  <c r="P14" i="25"/>
  <c r="N15" i="25"/>
  <c r="O15" i="25"/>
  <c r="P15" i="25"/>
  <c r="N16" i="25"/>
  <c r="O16" i="25"/>
  <c r="P16" i="25"/>
  <c r="N17" i="25"/>
  <c r="O17" i="25"/>
  <c r="P17" i="25"/>
  <c r="N18" i="25"/>
  <c r="O18" i="25"/>
  <c r="P18" i="25"/>
  <c r="N19" i="25"/>
  <c r="O19" i="25"/>
  <c r="P19" i="25"/>
  <c r="N20" i="25"/>
  <c r="O20" i="25"/>
  <c r="P20" i="25"/>
  <c r="N21" i="25"/>
  <c r="O21" i="25"/>
  <c r="P21" i="25"/>
  <c r="N22" i="25"/>
  <c r="O22" i="25"/>
  <c r="P22" i="25"/>
  <c r="N23" i="25"/>
  <c r="O23" i="25"/>
  <c r="P23" i="25"/>
  <c r="N24" i="25"/>
  <c r="O24" i="25"/>
  <c r="P24" i="25"/>
  <c r="N25" i="25"/>
  <c r="O25" i="25"/>
  <c r="P25" i="25"/>
  <c r="N26" i="25"/>
  <c r="O26" i="25"/>
  <c r="P26" i="25"/>
  <c r="N27" i="25"/>
  <c r="O27" i="25"/>
  <c r="P27" i="25"/>
  <c r="N28" i="25"/>
  <c r="O28" i="25"/>
  <c r="P28" i="25"/>
  <c r="N29" i="25"/>
  <c r="O29" i="25"/>
  <c r="P29" i="25"/>
  <c r="N30" i="25"/>
  <c r="O30" i="25"/>
  <c r="P30" i="25"/>
  <c r="P3" i="25"/>
  <c r="O3" i="25"/>
  <c r="N3" i="25"/>
  <c r="K4" i="25"/>
  <c r="L4" i="25"/>
  <c r="M4" i="25"/>
  <c r="K5" i="25"/>
  <c r="L5" i="25"/>
  <c r="M5" i="25"/>
  <c r="K6" i="25"/>
  <c r="L6" i="25"/>
  <c r="M6" i="25"/>
  <c r="K7" i="25"/>
  <c r="L7" i="25"/>
  <c r="M7" i="25"/>
  <c r="K8" i="25"/>
  <c r="L8" i="25"/>
  <c r="M8" i="25"/>
  <c r="K9" i="25"/>
  <c r="L9" i="25"/>
  <c r="M9" i="25"/>
  <c r="K10" i="25"/>
  <c r="L10" i="25"/>
  <c r="M10" i="25"/>
  <c r="K11" i="25"/>
  <c r="L11" i="25"/>
  <c r="M11" i="25"/>
  <c r="K12" i="25"/>
  <c r="L12" i="25"/>
  <c r="M12" i="25"/>
  <c r="K13" i="25"/>
  <c r="L13" i="25"/>
  <c r="M13" i="25"/>
  <c r="K14" i="25"/>
  <c r="L14" i="25"/>
  <c r="M14" i="25"/>
  <c r="K15" i="25"/>
  <c r="L15" i="25"/>
  <c r="M15" i="25"/>
  <c r="K16" i="25"/>
  <c r="L16" i="25"/>
  <c r="M16" i="25"/>
  <c r="K17" i="25"/>
  <c r="L17" i="25"/>
  <c r="M17" i="25"/>
  <c r="K18" i="25"/>
  <c r="L18" i="25"/>
  <c r="M18" i="25"/>
  <c r="K19" i="25"/>
  <c r="L19" i="25"/>
  <c r="M19" i="25"/>
  <c r="K20" i="25"/>
  <c r="L20" i="25"/>
  <c r="M20" i="25"/>
  <c r="K21" i="25"/>
  <c r="L21" i="25"/>
  <c r="M21" i="25"/>
  <c r="K22" i="25"/>
  <c r="L22" i="25"/>
  <c r="M22" i="25"/>
  <c r="K23" i="25"/>
  <c r="L23" i="25"/>
  <c r="M23" i="25"/>
  <c r="K24" i="25"/>
  <c r="L24" i="25"/>
  <c r="M24" i="25"/>
  <c r="K25" i="25"/>
  <c r="L25" i="25"/>
  <c r="M25" i="25"/>
  <c r="K26" i="25"/>
  <c r="L26" i="25"/>
  <c r="M26" i="25"/>
  <c r="K27" i="25"/>
  <c r="L27" i="25"/>
  <c r="M27" i="25"/>
  <c r="K28" i="25"/>
  <c r="L28" i="25"/>
  <c r="M28" i="25"/>
  <c r="K29" i="25"/>
  <c r="L29" i="25"/>
  <c r="M29" i="25"/>
  <c r="K30" i="25"/>
  <c r="L30" i="25"/>
  <c r="M30" i="25"/>
  <c r="L3" i="25"/>
  <c r="K3" i="25"/>
  <c r="M3" i="25"/>
  <c r="D3" i="29"/>
  <c r="F9" i="29"/>
  <c r="H10" i="29"/>
  <c r="E5" i="29"/>
  <c r="G8" i="29"/>
  <c r="F4" i="29"/>
  <c r="H5" i="29"/>
  <c r="F10" i="29"/>
  <c r="H11" i="29"/>
  <c r="E6" i="29"/>
  <c r="G7" i="29"/>
  <c r="H4" i="29"/>
  <c r="D8" i="29"/>
  <c r="C2" i="29"/>
  <c r="C4" i="29"/>
  <c r="H7" i="29"/>
  <c r="D9" i="29"/>
  <c r="G3" i="29"/>
  <c r="C7" i="29"/>
  <c r="F5" i="29"/>
  <c r="F11" i="29"/>
  <c r="C11" i="29"/>
  <c r="E2" i="29"/>
  <c r="F2" i="29"/>
  <c r="E10" i="29"/>
  <c r="F7" i="29"/>
  <c r="H8" i="29"/>
  <c r="E3" i="29"/>
  <c r="G6" i="29"/>
  <c r="G11" i="29"/>
  <c r="H3" i="29"/>
  <c r="D11" i="29"/>
  <c r="E8" i="29"/>
  <c r="G9" i="29"/>
  <c r="H6" i="29"/>
  <c r="C9" i="29"/>
  <c r="F3" i="29"/>
  <c r="D6" i="29"/>
  <c r="D2" i="29"/>
  <c r="C8" i="29"/>
  <c r="D5" i="29"/>
  <c r="C3" i="29"/>
  <c r="D10" i="29"/>
  <c r="C10" i="29"/>
  <c r="C6" i="29"/>
  <c r="F6" i="29"/>
  <c r="H9" i="29"/>
  <c r="E7" i="29"/>
  <c r="G5" i="29"/>
  <c r="G10" i="29"/>
  <c r="C5" i="29"/>
  <c r="E11" i="29"/>
  <c r="G4" i="29"/>
  <c r="H2" i="29"/>
  <c r="E9" i="29"/>
  <c r="F8" i="29"/>
  <c r="E4" i="29"/>
  <c r="D4" i="29"/>
  <c r="D7" i="29"/>
  <c r="G2" i="29"/>
  <c r="K4" i="18" l="1"/>
  <c r="K5" i="18"/>
  <c r="K6" i="18"/>
  <c r="K8" i="18"/>
  <c r="K7" i="18"/>
  <c r="K9" i="18"/>
  <c r="K10" i="18"/>
  <c r="K11" i="18"/>
  <c r="K12" i="18"/>
  <c r="K13" i="18"/>
  <c r="K15" i="18"/>
  <c r="K16" i="18"/>
  <c r="K14" i="18"/>
  <c r="K17" i="18"/>
  <c r="K18" i="18"/>
  <c r="K19" i="18"/>
  <c r="K20" i="18"/>
  <c r="K21" i="18"/>
  <c r="K22" i="18"/>
  <c r="K23" i="18"/>
  <c r="K24" i="18"/>
  <c r="K25" i="18"/>
  <c r="K27" i="18"/>
  <c r="K28" i="18"/>
  <c r="K26" i="18"/>
  <c r="K29" i="18"/>
  <c r="K30" i="18"/>
  <c r="K3" i="18"/>
  <c r="C5" i="24" l="1"/>
  <c r="C9" i="24"/>
  <c r="C7" i="24"/>
  <c r="B7" i="24" l="1"/>
  <c r="C3" i="24" l="1"/>
  <c r="C11" i="24"/>
  <c r="C12" i="24"/>
  <c r="B3" i="24"/>
  <c r="B5" i="24" l="1"/>
  <c r="B11" i="24"/>
  <c r="C6" i="24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1" i="2"/>
  <c r="B6" i="24" l="1"/>
  <c r="B12" i="24"/>
  <c r="C10" i="24" l="1"/>
  <c r="B10" i="24" l="1"/>
  <c r="C4" i="24" l="1"/>
  <c r="B9" i="24" l="1"/>
  <c r="B4" i="24"/>
  <c r="B8" i="24" l="1"/>
</calcChain>
</file>

<file path=xl/sharedStrings.xml><?xml version="1.0" encoding="utf-8"?>
<sst xmlns="http://schemas.openxmlformats.org/spreadsheetml/2006/main" count="3669" uniqueCount="726">
  <si>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</si>
  <si>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</si>
  <si>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</si>
  <si>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</si>
  <si>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</si>
  <si>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</si>
  <si>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</si>
  <si>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</si>
  <si>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</si>
  <si>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</si>
  <si>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</si>
  <si>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</si>
  <si>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</si>
  <si>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</si>
  <si>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</si>
  <si>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</si>
  <si>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</si>
  <si>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</si>
  <si>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</si>
  <si>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</si>
  <si>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</si>
  <si>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</si>
  <si>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</si>
  <si>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Slovenia</t>
  </si>
  <si>
    <t>Spain</t>
  </si>
  <si>
    <t>Sweden</t>
  </si>
  <si>
    <t>United Kingdom</t>
  </si>
  <si>
    <t>Rakousko</t>
  </si>
  <si>
    <t>Belgie</t>
  </si>
  <si>
    <t>Bulharsko</t>
  </si>
  <si>
    <t>Chorvatsko</t>
  </si>
  <si>
    <t>Kypr</t>
  </si>
  <si>
    <t>Česká republika</t>
  </si>
  <si>
    <t>Dánsko</t>
  </si>
  <si>
    <t>Estonsko</t>
  </si>
  <si>
    <t>Finsko</t>
  </si>
  <si>
    <t>Francie</t>
  </si>
  <si>
    <t>Německo</t>
  </si>
  <si>
    <t>Řecko</t>
  </si>
  <si>
    <t>Maďarsko</t>
  </si>
  <si>
    <t>Irsko</t>
  </si>
  <si>
    <t>Itálie</t>
  </si>
  <si>
    <t>Lotyšsko</t>
  </si>
  <si>
    <t>Litva</t>
  </si>
  <si>
    <t>Lucembursko</t>
  </si>
  <si>
    <t>Nizozemsko</t>
  </si>
  <si>
    <t>Polsko</t>
  </si>
  <si>
    <t>Portugalsko</t>
  </si>
  <si>
    <t>Rumunsko</t>
  </si>
  <si>
    <t>Slovinsko</t>
  </si>
  <si>
    <t>Španělsko</t>
  </si>
  <si>
    <t>Švédsko</t>
  </si>
  <si>
    <t>Výdaje na RaD</t>
  </si>
  <si>
    <t>Podíl celkových výdajů na výzkum a vývoj na HDP</t>
  </si>
  <si>
    <t>Spojené království</t>
  </si>
  <si>
    <t>Slovakia</t>
  </si>
  <si>
    <t>Slovensko</t>
  </si>
  <si>
    <t>Počet patentů</t>
  </si>
  <si>
    <t>Počet absolventů</t>
  </si>
  <si>
    <t>Počet publikací</t>
  </si>
  <si>
    <t>Počet citovatelných publikací na 1000 obyvatel</t>
  </si>
  <si>
    <t xml:space="preserve">Venture kapitál </t>
  </si>
  <si>
    <t>Investice do start-up a seed venture kapitálu</t>
  </si>
  <si>
    <t>Připojení k internetu</t>
  </si>
  <si>
    <t>Výdaje na vzdělání</t>
  </si>
  <si>
    <t>High-tech Export</t>
  </si>
  <si>
    <t>eGovernment</t>
  </si>
  <si>
    <t>Erste Inovační Barometr</t>
  </si>
  <si>
    <t>Values</t>
  </si>
  <si>
    <t>Rank</t>
  </si>
  <si>
    <t>Inovační Barometr</t>
  </si>
  <si>
    <t>EIB</t>
  </si>
  <si>
    <t>bodů</t>
  </si>
  <si>
    <t>Výdaje na R&amp;D</t>
  </si>
  <si>
    <t>v % HDP, zdroj: Eurostat</t>
  </si>
  <si>
    <t>procent</t>
  </si>
  <si>
    <t>Počet přihlášených patentů na 1000 obyvatel</t>
  </si>
  <si>
    <t>Patents</t>
  </si>
  <si>
    <t>patentů na 1000 obyvatel, zdroj: World International Patent Organisation (patenty), Eurostat (populace)</t>
  </si>
  <si>
    <t>patentů</t>
  </si>
  <si>
    <t>Graduates</t>
  </si>
  <si>
    <t>absolventů na 1000 obyvatel, zdroj: Eurostat</t>
  </si>
  <si>
    <t>absolventů</t>
  </si>
  <si>
    <t>Documents</t>
  </si>
  <si>
    <t xml:space="preserve">publikací na 1000 obyvatel, zdroj: Scimago (publikace), Eurostat (populace) </t>
  </si>
  <si>
    <t>publikací</t>
  </si>
  <si>
    <t>Venture kapitál</t>
  </si>
  <si>
    <t>VentureCap</t>
  </si>
  <si>
    <t>v % HDP, zdroj: European Venture Capital Association, Eurostat a Evropská komise</t>
  </si>
  <si>
    <t>Broadband</t>
  </si>
  <si>
    <t>v % domácností, zdroj: Eurostat</t>
  </si>
  <si>
    <t>Výdaje na vzdělávání</t>
  </si>
  <si>
    <t>EducExp</t>
  </si>
  <si>
    <t>High-tech export</t>
  </si>
  <si>
    <t>Podíl High-tech exportů na celkovém exportu</t>
  </si>
  <si>
    <t>Exports</t>
  </si>
  <si>
    <t>podíl High-tech na celkovém exportu, zdroj: Eurostat</t>
  </si>
  <si>
    <t>Podíl domácností komunikujících se státní správou elektronicky</t>
  </si>
  <si>
    <t>EGovernment</t>
  </si>
  <si>
    <t>podíl domácností, zdroj: Eurostat</t>
  </si>
  <si>
    <t>cislo</t>
  </si>
  <si>
    <t>Short Name</t>
  </si>
  <si>
    <t>Long Name</t>
  </si>
  <si>
    <t>Metrics</t>
  </si>
  <si>
    <t>Description</t>
  </si>
  <si>
    <t>Unit</t>
  </si>
  <si>
    <t>RaD</t>
  </si>
  <si>
    <t>bodů v EIB, Zdroj: kalkulace EU Office ČS</t>
  </si>
  <si>
    <t>Bodů v IB</t>
  </si>
  <si>
    <t>Podkladová statistika</t>
  </si>
  <si>
    <t>Vyberte sub-index</t>
  </si>
  <si>
    <t>Country</t>
  </si>
  <si>
    <t>Slovak Republic</t>
  </si>
  <si>
    <t>rngMetricTitle:</t>
  </si>
  <si>
    <t xml:space="preserve"> - </t>
  </si>
  <si>
    <t>-</t>
  </si>
  <si>
    <t>61 b. (9.)</t>
  </si>
  <si>
    <t>64 b. (7.)</t>
  </si>
  <si>
    <t>decimals</t>
  </si>
  <si>
    <t>0.0</t>
  </si>
  <si>
    <t>0.00</t>
  </si>
  <si>
    <t>0.00000</t>
  </si>
  <si>
    <t>40 b. (17.)</t>
  </si>
  <si>
    <t>Dle pořadí</t>
  </si>
  <si>
    <t>Stát</t>
  </si>
  <si>
    <t>Výdaje na R&amp;D k HDP</t>
  </si>
  <si>
    <t>Žádosti o patent na 1000 obyvatel</t>
  </si>
  <si>
    <t>Absolventi technických univerzit na 1000 obyvatel</t>
  </si>
  <si>
    <t>Ocitované publikace na 1000 obyvatel</t>
  </si>
  <si>
    <t>Venture kapitálové investice do start-upů k HDP</t>
  </si>
  <si>
    <t>Podíl exportů high-tech výrobků</t>
  </si>
  <si>
    <t>Podíl osob využívajících e-government</t>
  </si>
  <si>
    <t>Years</t>
  </si>
  <si>
    <t>Selected Year</t>
  </si>
  <si>
    <t>Selected Metric</t>
  </si>
  <si>
    <t>Colour</t>
  </si>
  <si>
    <t>Výdaje na vzdělávání k HDP</t>
  </si>
  <si>
    <t xml:space="preserve">Výdaje na vzdělávání vůči HDP </t>
  </si>
  <si>
    <t>Do roku 2014 pouze veřejné, později včetně soukromých; v % HDP, zdroj: Eurostat</t>
  </si>
  <si>
    <t>Počet absolventů technických oborů na 1000 obyvatel mezi 20 - 29 lety</t>
  </si>
  <si>
    <t>Počet absolventů technických oborů na 1000 obyvatel mezi 20 a 29 lety</t>
  </si>
  <si>
    <t>61 b. (8.)</t>
  </si>
  <si>
    <t>57 b. (11.)</t>
  </si>
  <si>
    <t>56 b. (12.)</t>
  </si>
  <si>
    <t>66 b. (7.)</t>
  </si>
  <si>
    <t>67 b. (8.)</t>
  </si>
  <si>
    <t>88 b. (2.)</t>
  </si>
  <si>
    <t>100 b. (1.)</t>
  </si>
  <si>
    <t>91 b. (2.)</t>
  </si>
  <si>
    <t>60 b. (11.)</t>
  </si>
  <si>
    <t>76 b. (5.)</t>
  </si>
  <si>
    <t>19 b. (26.)</t>
  </si>
  <si>
    <t>25 b. (24.)</t>
  </si>
  <si>
    <t>27 b. (24.)</t>
  </si>
  <si>
    <t>63 b. (10.)</t>
  </si>
  <si>
    <t>70 b. (6.)</t>
  </si>
  <si>
    <t>50 b. (13.)</t>
  </si>
  <si>
    <t>73 b. (6.)</t>
  </si>
  <si>
    <t>52 b. (12.)</t>
  </si>
  <si>
    <t>33 b. (20.)</t>
  </si>
  <si>
    <t>55 b. (11.)</t>
  </si>
  <si>
    <t>29 b. (22.)</t>
  </si>
  <si>
    <t>31 b. (21.)</t>
  </si>
  <si>
    <t>28 b. (22.)</t>
  </si>
  <si>
    <t>71 b. (6.)</t>
  </si>
  <si>
    <t>32 b. (19.)</t>
  </si>
  <si>
    <t>30 b. (20.)</t>
  </si>
  <si>
    <t>73 b. (5.)</t>
  </si>
  <si>
    <t>40 b. (16.)</t>
  </si>
  <si>
    <t>59 b. (9.)</t>
  </si>
  <si>
    <t>28 b. (23.)</t>
  </si>
  <si>
    <t>27 b. (23.)</t>
  </si>
  <si>
    <t>20 b. (27.)</t>
  </si>
  <si>
    <t>26 b. (24.)</t>
  </si>
  <si>
    <t>24 b. (25.)</t>
  </si>
  <si>
    <t>83 b. (5.)</t>
  </si>
  <si>
    <t>84 b. (4.)</t>
  </si>
  <si>
    <t>84 b. (5.)</t>
  </si>
  <si>
    <t>65 b. (7.)</t>
  </si>
  <si>
    <t>63 b. (7.)</t>
  </si>
  <si>
    <t>23 b. (25.)</t>
  </si>
  <si>
    <t>34 b. (19.)</t>
  </si>
  <si>
    <t>26 b. (23.)</t>
  </si>
  <si>
    <t>18 b. (27.)</t>
  </si>
  <si>
    <t>44 b. (16.)</t>
  </si>
  <si>
    <t>45 b. (16.)</t>
  </si>
  <si>
    <t>88 b. (3.)</t>
  </si>
  <si>
    <t>92 b. (3.)</t>
  </si>
  <si>
    <t>90 b. (3.)</t>
  </si>
  <si>
    <t>41 b. (17.)</t>
  </si>
  <si>
    <t>45 b. (15.)</t>
  </si>
  <si>
    <t>47 b. (14.)</t>
  </si>
  <si>
    <t>86 b. (4.)</t>
  </si>
  <si>
    <t>85 b. (4.)</t>
  </si>
  <si>
    <t>28 b. (21.)</t>
  </si>
  <si>
    <t>26 b. (22.)</t>
  </si>
  <si>
    <t>24 b. (24.)</t>
  </si>
  <si>
    <t>40 b. (18.)</t>
  </si>
  <si>
    <t>39 b. (18.)</t>
  </si>
  <si>
    <t>53 b. (12.)</t>
  </si>
  <si>
    <t>43 b. (15.)</t>
  </si>
  <si>
    <t>56 b. (10.)</t>
  </si>
  <si>
    <t>49 b. (14.)</t>
  </si>
  <si>
    <t>29 b. (21.)</t>
  </si>
  <si>
    <t>60 b. (8.)</t>
  </si>
  <si>
    <t>29 b. (20.)</t>
  </si>
  <si>
    <t>52 b. (13.)</t>
  </si>
  <si>
    <t>22 b. (25.)</t>
  </si>
  <si>
    <t>46 b. (15.)</t>
  </si>
  <si>
    <t>98 b. (2.)</t>
  </si>
  <si>
    <t>97 b. (2.)</t>
  </si>
  <si>
    <t>57 b. (9.)</t>
  </si>
  <si>
    <t>51 b. (12.)</t>
  </si>
  <si>
    <t>62 b. (8.)</t>
  </si>
  <si>
    <t>67 b. (6.)</t>
  </si>
  <si>
    <t>58 b. (10.)</t>
  </si>
  <si>
    <t>63 b. (8.)</t>
  </si>
  <si>
    <t>54 b. (12.)</t>
  </si>
  <si>
    <t>44 b. (15.)</t>
  </si>
  <si>
    <t>41 b. (19.)</t>
  </si>
  <si>
    <t>43 b. (17.)</t>
  </si>
  <si>
    <t>39 b. (19.)</t>
  </si>
  <si>
    <t>42 b. (16.)</t>
  </si>
  <si>
    <t>35 b. (21.)</t>
  </si>
  <si>
    <t>36 b. (22.)</t>
  </si>
  <si>
    <t>33 b. (18.)</t>
  </si>
  <si>
    <t>32 b. (22.)</t>
  </si>
  <si>
    <t>32 b. (23.)</t>
  </si>
  <si>
    <t>91 b. (4.)</t>
  </si>
  <si>
    <t>75 b. (6.)</t>
  </si>
  <si>
    <t>31 b. (23.)</t>
  </si>
  <si>
    <t>97 b. (3.)</t>
  </si>
  <si>
    <t>94 b. (2.)</t>
  </si>
  <si>
    <t>13 b. (27.)</t>
  </si>
  <si>
    <t>36 b. (20.)</t>
  </si>
  <si>
    <t>47 b. (15.)</t>
  </si>
  <si>
    <t>55 b. (12.)</t>
  </si>
  <si>
    <t>54 b. (13.)</t>
  </si>
  <si>
    <t>42 b. (18.)</t>
  </si>
  <si>
    <t>43 b. (18.)</t>
  </si>
  <si>
    <t>20 b. (26.)</t>
  </si>
  <si>
    <t>74 b. (7.)</t>
  </si>
  <si>
    <t>0 b. (28.)</t>
  </si>
  <si>
    <t>13 b. (26.)</t>
  </si>
  <si>
    <t>49 b. (16.)</t>
  </si>
  <si>
    <t>38 b. (19.)</t>
  </si>
  <si>
    <t>87 b. (4.)</t>
  </si>
  <si>
    <t>74 b. (5.)</t>
  </si>
  <si>
    <t>12 b. (27.)</t>
  </si>
  <si>
    <t>64 b. (9.)</t>
  </si>
  <si>
    <t>17 b. (26.)</t>
  </si>
  <si>
    <t>15 b. (27.)</t>
  </si>
  <si>
    <t>78 b. (5.)</t>
  </si>
  <si>
    <t>98 b. (1.)</t>
  </si>
  <si>
    <t>46 b. (16.)</t>
  </si>
  <si>
    <t>34 b. (20.)</t>
  </si>
  <si>
    <t>38 b. (17.)</t>
  </si>
  <si>
    <t>89 b. (4.)</t>
  </si>
  <si>
    <t>10 b. (27.)</t>
  </si>
  <si>
    <t>4 b. (28.)</t>
  </si>
  <si>
    <t>51 b. (13.)</t>
  </si>
  <si>
    <t>79 b. (4.)</t>
  </si>
  <si>
    <t>56 b. (11.)</t>
  </si>
  <si>
    <t>18 b. (25.)</t>
  </si>
  <si>
    <t>7 b. (28.)</t>
  </si>
  <si>
    <t>9 b. (28.)</t>
  </si>
  <si>
    <t>95 b. (1.)</t>
  </si>
  <si>
    <t>93 b. (3.)</t>
  </si>
  <si>
    <t>58 b. (9.)</t>
  </si>
  <si>
    <t>NA</t>
  </si>
  <si>
    <t>42 b. (12.)</t>
  </si>
  <si>
    <t>62 b. (9.)</t>
  </si>
  <si>
    <t>38 b. (13.)</t>
  </si>
  <si>
    <t>48 b. (12.)</t>
  </si>
  <si>
    <t>47 b. (13.)</t>
  </si>
  <si>
    <t>54 b. (11.)</t>
  </si>
  <si>
    <t>84 b. (3.)</t>
  </si>
  <si>
    <t>63 b. (6.)</t>
  </si>
  <si>
    <t>68 b. (6.)</t>
  </si>
  <si>
    <t>59 b. (7.)</t>
  </si>
  <si>
    <t>56 b. (9.)</t>
  </si>
  <si>
    <t>57 b. (10.)</t>
  </si>
  <si>
    <t>41 b. (13.)</t>
  </si>
  <si>
    <t>33 b. (14.)</t>
  </si>
  <si>
    <t>31 b. (17.)</t>
  </si>
  <si>
    <t>20 b. (23.)</t>
  </si>
  <si>
    <t>27 b. (22.)</t>
  </si>
  <si>
    <t>32 b. (17.)</t>
  </si>
  <si>
    <t>25 b. (23.)</t>
  </si>
  <si>
    <t>41 b. (12.)</t>
  </si>
  <si>
    <t>23 b. (22.)</t>
  </si>
  <si>
    <t>26 b. (20.)</t>
  </si>
  <si>
    <t>77 b. (3.)</t>
  </si>
  <si>
    <t>75 b. (5.)</t>
  </si>
  <si>
    <t>64 b. (5.)</t>
  </si>
  <si>
    <t>67 b. (5.)</t>
  </si>
  <si>
    <t>35 b. (17.)</t>
  </si>
  <si>
    <t>39 b. (14.)</t>
  </si>
  <si>
    <t>58 b. (8.)</t>
  </si>
  <si>
    <t>60 b. (9.)</t>
  </si>
  <si>
    <t>86 b. (2.)</t>
  </si>
  <si>
    <t>95 b. (2.)</t>
  </si>
  <si>
    <t>99 b. (2.)</t>
  </si>
  <si>
    <t>57 b. (12.)</t>
  </si>
  <si>
    <t>51 b. (11.)</t>
  </si>
  <si>
    <t>52 b. (11.)</t>
  </si>
  <si>
    <t>59 b. (11.)</t>
  </si>
  <si>
    <t>51 b. (10.)</t>
  </si>
  <si>
    <t>36 b. (16.)</t>
  </si>
  <si>
    <t>28 b. (19.)</t>
  </si>
  <si>
    <t>31 b. (19.)</t>
  </si>
  <si>
    <t>38 b. (14.)</t>
  </si>
  <si>
    <t>99 b. (1.)</t>
  </si>
  <si>
    <t>41 b. (15.)</t>
  </si>
  <si>
    <t>68 b. (5.)</t>
  </si>
  <si>
    <t>78 b. (4.)</t>
  </si>
  <si>
    <t>28 b. (20.)</t>
  </si>
  <si>
    <t>30 b. (18.)</t>
  </si>
  <si>
    <t>31 b. (18.)</t>
  </si>
  <si>
    <t>26 b. (21.)</t>
  </si>
  <si>
    <t>33 b. (17.)</t>
  </si>
  <si>
    <t>25 b. (21.)</t>
  </si>
  <si>
    <t>49 b. (13.)</t>
  </si>
  <si>
    <t>42 b. (14.)</t>
  </si>
  <si>
    <t>41 b. (16.)</t>
  </si>
  <si>
    <t>40 b. (14.)</t>
  </si>
  <si>
    <t>27 b. (21.)</t>
  </si>
  <si>
    <t>24 b. (22.)</t>
  </si>
  <si>
    <t>38 b. (15.)</t>
  </si>
  <si>
    <t>31 b. (16.)</t>
  </si>
  <si>
    <t>35 b. (15.)</t>
  </si>
  <si>
    <t>39 b. (15.)</t>
  </si>
  <si>
    <t>48 b. (13.)</t>
  </si>
  <si>
    <t>36 b. (15.)</t>
  </si>
  <si>
    <t>69 b. (5.)</t>
  </si>
  <si>
    <t>52 b. (9.)</t>
  </si>
  <si>
    <t>67 b. (4.)</t>
  </si>
  <si>
    <t>24 b. (23.)</t>
  </si>
  <si>
    <t>29 b. (19.)</t>
  </si>
  <si>
    <t>27 b. (20.)</t>
  </si>
  <si>
    <t>28 b. (18.)</t>
  </si>
  <si>
    <t>59 b. (10.)</t>
  </si>
  <si>
    <t>32 b. (16.)</t>
  </si>
  <si>
    <t>44 b. (13.)</t>
  </si>
  <si>
    <t>64 b. (6.)</t>
  </si>
  <si>
    <t>82 b. (3.)</t>
  </si>
  <si>
    <t>31 b. (15.)</t>
  </si>
  <si>
    <t>19 b. (24.)</t>
  </si>
  <si>
    <t>23 b. (24.)</t>
  </si>
  <si>
    <t>30 b. (17.)</t>
  </si>
  <si>
    <t>26 b. (19.)</t>
  </si>
  <si>
    <t>36 b. (13.)</t>
  </si>
  <si>
    <t>34 b. (16.)</t>
  </si>
  <si>
    <t>39 b. (16.)</t>
  </si>
  <si>
    <t>34 b. (17.)</t>
  </si>
  <si>
    <t>74 b. (4.)</t>
  </si>
  <si>
    <t>71 b. (3.)</t>
  </si>
  <si>
    <t>75 b. (4.)</t>
  </si>
  <si>
    <t>60 b. (10.)</t>
  </si>
  <si>
    <t>59 b. (8.)</t>
  </si>
  <si>
    <t>80 b. (3.)</t>
  </si>
  <si>
    <t>83 b. (3.)</t>
  </si>
  <si>
    <t>79 b. (3.)</t>
  </si>
  <si>
    <t>81 b. (1.)</t>
  </si>
  <si>
    <t>80 b. (2.)</t>
  </si>
  <si>
    <t>80 b. (1.)</t>
  </si>
  <si>
    <t>86 b. (1.)</t>
  </si>
  <si>
    <t>82 b. (2.)</t>
  </si>
  <si>
    <t>79 b. (2.)</t>
  </si>
  <si>
    <t>84 b. (2.)</t>
  </si>
  <si>
    <t>83 b. (1.)</t>
  </si>
  <si>
    <t>71 b. (4.)</t>
  </si>
  <si>
    <t>69 b. (4.)</t>
  </si>
  <si>
    <t>68 b. (4.)</t>
  </si>
  <si>
    <t>66 b. (4.)</t>
  </si>
  <si>
    <t>66 b. (5.)</t>
  </si>
  <si>
    <t>65 b. (5.)</t>
  </si>
  <si>
    <t>65 b. (6.)</t>
  </si>
  <si>
    <t>60 b. (7.)</t>
  </si>
  <si>
    <t>62 b. (7.)</t>
  </si>
  <si>
    <t>58 b. (11.)</t>
  </si>
  <si>
    <t>53 b. (11.)</t>
  </si>
  <si>
    <t>50 b. (12.)</t>
  </si>
  <si>
    <t>49 b. (12.)</t>
  </si>
  <si>
    <t>48 b. (14.)</t>
  </si>
  <si>
    <t>53 b. (13.)</t>
  </si>
  <si>
    <t>50 b. (14.)</t>
  </si>
  <si>
    <t>44 b. (14.)</t>
  </si>
  <si>
    <t>52 b. (14.)</t>
  </si>
  <si>
    <t>43 b. (16.)</t>
  </si>
  <si>
    <t>40 b. (19.)</t>
  </si>
  <si>
    <t>48 b. (15.)</t>
  </si>
  <si>
    <t>39 b. (20.)</t>
  </si>
  <si>
    <t>42 b. (17.)</t>
  </si>
  <si>
    <t>41 b. (18.)</t>
  </si>
  <si>
    <t>33 b. (24.)</t>
  </si>
  <si>
    <t>32 b. (24.)</t>
  </si>
  <si>
    <t>35 b. (22.)</t>
  </si>
  <si>
    <t>35 b. (23.)</t>
  </si>
  <si>
    <t>38 b. (21.)</t>
  </si>
  <si>
    <t>36 b. (21.)</t>
  </si>
  <si>
    <t>34 b. (24.)</t>
  </si>
  <si>
    <t>37 b. (21.)</t>
  </si>
  <si>
    <t>36 b. (23.)</t>
  </si>
  <si>
    <t>37 b. (20.)</t>
  </si>
  <si>
    <t>38 b. (20.)</t>
  </si>
  <si>
    <t>28 b. (26.)</t>
  </si>
  <si>
    <t>31 b. (25.)</t>
  </si>
  <si>
    <t>33 b. (25.)</t>
  </si>
  <si>
    <t>30 b. (25.)</t>
  </si>
  <si>
    <t>31 b. (24.)</t>
  </si>
  <si>
    <t>29 b. (25.)</t>
  </si>
  <si>
    <t>29 b. (26.)</t>
  </si>
  <si>
    <t>31 b. (26.)</t>
  </si>
  <si>
    <t>34 b. (22.)</t>
  </si>
  <si>
    <t>23 b. (28.)</t>
  </si>
  <si>
    <t>22 b. (28.)</t>
  </si>
  <si>
    <t>24 b. (28.)</t>
  </si>
  <si>
    <t>22 b. (27.)</t>
  </si>
  <si>
    <t>21 b. (28.)</t>
  </si>
  <si>
    <t>25 b. (27.)</t>
  </si>
  <si>
    <t>19 b. (27.)</t>
  </si>
  <si>
    <t>24 b. (27.)</t>
  </si>
  <si>
    <t>27 b. (27.)</t>
  </si>
  <si>
    <t>28 b. (27.)</t>
  </si>
  <si>
    <t>23 b. (27.)</t>
  </si>
  <si>
    <t>19 b. (28.)</t>
  </si>
  <si>
    <t>82 b. (5.)</t>
  </si>
  <si>
    <t>80 b. (5.)</t>
  </si>
  <si>
    <t>81 b. (5.)</t>
  </si>
  <si>
    <t>65 b. (8.)</t>
  </si>
  <si>
    <t>66 b. (9.)</t>
  </si>
  <si>
    <t>68 b. (7.)</t>
  </si>
  <si>
    <t>69 b. (7.)</t>
  </si>
  <si>
    <t>22 b. (26.)</t>
  </si>
  <si>
    <t>24 b. (26.)</t>
  </si>
  <si>
    <t>21 b. (26.)</t>
  </si>
  <si>
    <t>20 b. (28.)</t>
  </si>
  <si>
    <t>21 b. (27.)</t>
  </si>
  <si>
    <t>17 b. (28.)</t>
  </si>
  <si>
    <t>85 b. (3.)</t>
  </si>
  <si>
    <t>89 b. (3.)</t>
  </si>
  <si>
    <t>91 b. (3.)</t>
  </si>
  <si>
    <t>71 b. (7.)</t>
  </si>
  <si>
    <t>65 b. (9.)</t>
  </si>
  <si>
    <t>69 b. (6.)</t>
  </si>
  <si>
    <t>68 b. (8.)</t>
  </si>
  <si>
    <t>83 b. (4.)</t>
  </si>
  <si>
    <t>38 b. (18.)</t>
  </si>
  <si>
    <t>37 b. (18.)</t>
  </si>
  <si>
    <t>46 b. (13.)</t>
  </si>
  <si>
    <t>25 b. (22.)</t>
  </si>
  <si>
    <t>33 b. (19.)</t>
  </si>
  <si>
    <t>32 b. (20.)</t>
  </si>
  <si>
    <t>30 b. (19.)</t>
  </si>
  <si>
    <t>23 b. (23.)</t>
  </si>
  <si>
    <t>43 b. (14.)</t>
  </si>
  <si>
    <t>25 b. (25.)</t>
  </si>
  <si>
    <t>15 b. (28.)</t>
  </si>
  <si>
    <t>74 b. (6.)</t>
  </si>
  <si>
    <t>77 b. (6.)</t>
  </si>
  <si>
    <t>78 b. (6.)</t>
  </si>
  <si>
    <t>46 b. (14.)</t>
  </si>
  <si>
    <t>96 b. (2.)</t>
  </si>
  <si>
    <t>57 b. (8.)</t>
  </si>
  <si>
    <t>55 b. (10.)</t>
  </si>
  <si>
    <t>61 b. (7.)</t>
  </si>
  <si>
    <t>55 b. (8.)</t>
  </si>
  <si>
    <t>53 b. (9.)</t>
  </si>
  <si>
    <t>30 b. (26.)</t>
  </si>
  <si>
    <t>30 b. (28.)</t>
  </si>
  <si>
    <t>30 b. (27.)</t>
  </si>
  <si>
    <t>31 b. (28.)</t>
  </si>
  <si>
    <t>31 b. (27.)</t>
  </si>
  <si>
    <t>31 b. (20.)</t>
  </si>
  <si>
    <t>30 b. (23.)</t>
  </si>
  <si>
    <t>37 b. (15.)</t>
  </si>
  <si>
    <t>32 b. (18.)</t>
  </si>
  <si>
    <t>34 b. (18.)</t>
  </si>
  <si>
    <t>79 b. (6.)</t>
  </si>
  <si>
    <t>83 b. (6.)</t>
  </si>
  <si>
    <t>80 b. (6.)</t>
  </si>
  <si>
    <t>79 b. (5.)</t>
  </si>
  <si>
    <t>31 b. (22.)</t>
  </si>
  <si>
    <t>92 b. (2.)</t>
  </si>
  <si>
    <t>81 b. (3.)</t>
  </si>
  <si>
    <t>54 b. (10.)</t>
  </si>
  <si>
    <t>55 b. (9.)</t>
  </si>
  <si>
    <t>54 b. (9.)</t>
  </si>
  <si>
    <t>54 b. (8.)</t>
  </si>
  <si>
    <t>87 b. (5.)</t>
  </si>
  <si>
    <t>86 b. (5.)</t>
  </si>
  <si>
    <t>81 b. (4.)</t>
  </si>
  <si>
    <t>30 b. (22.)</t>
  </si>
  <si>
    <t>33 b. (21.)</t>
  </si>
  <si>
    <t>56 b. (8.)</t>
  </si>
  <si>
    <t>52 b. (10.)</t>
  </si>
  <si>
    <t>41 b. (14.)</t>
  </si>
  <si>
    <t>35 b. (16.)</t>
  </si>
  <si>
    <t>29 b. (28.)</t>
  </si>
  <si>
    <t>28 b. (28.)</t>
  </si>
  <si>
    <t>37 b. (14.)</t>
  </si>
  <si>
    <t>46 b. (12.)</t>
  </si>
  <si>
    <t>45 b. (12.)</t>
  </si>
  <si>
    <t>44 b. (12.)</t>
  </si>
  <si>
    <t>92 b. (4.)</t>
  </si>
  <si>
    <t>90 b. (4.)</t>
  </si>
  <si>
    <t>81 b. (6.)</t>
  </si>
  <si>
    <t>30 b. (24.)</t>
  </si>
  <si>
    <t>32 b. (21.)</t>
  </si>
  <si>
    <t>30 b. (21.)</t>
  </si>
  <si>
    <t>33 b. (22.)</t>
  </si>
  <si>
    <t>29 b. (27.)</t>
  </si>
  <si>
    <t>40 b. (13.)</t>
  </si>
  <si>
    <t>42 b. (13.)</t>
  </si>
  <si>
    <t>85 b. (2.)</t>
  </si>
  <si>
    <t>83 b. (2.)</t>
  </si>
  <si>
    <t>50 b. (11.)</t>
  </si>
  <si>
    <t>48 b. (11.)</t>
  </si>
  <si>
    <t>49 b. (11.)</t>
  </si>
  <si>
    <t>46 b. (18.)</t>
  </si>
  <si>
    <t>56 b. (14.)</t>
  </si>
  <si>
    <t>53 b. (14.)</t>
  </si>
  <si>
    <t>44 b. (17.)</t>
  </si>
  <si>
    <t>37 b. (22.)</t>
  </si>
  <si>
    <t>37 b. (19.)</t>
  </si>
  <si>
    <t>49 b. (15.)</t>
  </si>
  <si>
    <t>46 b. (17.)</t>
  </si>
  <si>
    <t>55 b. (13.)</t>
  </si>
  <si>
    <t>7 b. (27.)</t>
  </si>
  <si>
    <t>6 b. (27.)</t>
  </si>
  <si>
    <t>2 b. (27.)</t>
  </si>
  <si>
    <t>10 b. (26.)</t>
  </si>
  <si>
    <t>59 b. (12.)</t>
  </si>
  <si>
    <t>63 b. (9.)</t>
  </si>
  <si>
    <t>69 b. (8.)</t>
  </si>
  <si>
    <t>34 b. (23.)</t>
  </si>
  <si>
    <t>89 b. (2.)</t>
  </si>
  <si>
    <t>92 b. (1.)</t>
  </si>
  <si>
    <t>87 b. (2.)</t>
  </si>
  <si>
    <t>86 b. (3.)</t>
  </si>
  <si>
    <t>59 b. (13.)</t>
  </si>
  <si>
    <t>43 b. (19.)</t>
  </si>
  <si>
    <t>45 b. (17.)</t>
  </si>
  <si>
    <t>17 b. (25.)</t>
  </si>
  <si>
    <t>19 b. (25.)</t>
  </si>
  <si>
    <t>20 b. (25.)</t>
  </si>
  <si>
    <t>16 b. (26.)</t>
  </si>
  <si>
    <t>35 b. (20.)</t>
  </si>
  <si>
    <t>33 b. (23.)</t>
  </si>
  <si>
    <t>82 b. (4.)</t>
  </si>
  <si>
    <t>91 b. (1.)</t>
  </si>
  <si>
    <t>90 b. (1.)</t>
  </si>
  <si>
    <t>5 b. (27.)</t>
  </si>
  <si>
    <t>21 b. (24.)</t>
  </si>
  <si>
    <t>64 b. (8.)</t>
  </si>
  <si>
    <t>63 b. (11.)</t>
  </si>
  <si>
    <t>75 b. (7.)</t>
  </si>
  <si>
    <t>90 b. (2.)</t>
  </si>
  <si>
    <t>56 b. (15.)</t>
  </si>
  <si>
    <t>52 b. (15.)</t>
  </si>
  <si>
    <t>66 b. (6.)</t>
  </si>
  <si>
    <t>40 b. (20.)</t>
  </si>
  <si>
    <t>70 b. (7.)</t>
  </si>
  <si>
    <t>47 b. (16.)</t>
  </si>
  <si>
    <t>50 b. (16.)</t>
  </si>
  <si>
    <t>51 b. (15.)</t>
  </si>
  <si>
    <t>64 b. (10.)</t>
  </si>
  <si>
    <t>54 b. (16.)</t>
  </si>
  <si>
    <t>71 b. (5.)</t>
  </si>
  <si>
    <t>69 b. (9.)</t>
  </si>
  <si>
    <t>68 b. (9.)</t>
  </si>
  <si>
    <t>66 b. (8.)</t>
  </si>
  <si>
    <t>72 b. (7.)</t>
  </si>
  <si>
    <t>14 b. (26.)</t>
  </si>
  <si>
    <t>14 b. (27.)</t>
  </si>
  <si>
    <t>10 b. (28.)</t>
  </si>
  <si>
    <t>42 b. (19.)</t>
  </si>
  <si>
    <t>97 b. (1.)</t>
  </si>
  <si>
    <t>94 b. (3.)</t>
  </si>
  <si>
    <t>22 b. (24.)</t>
  </si>
  <si>
    <t>72 b. (8.)</t>
  </si>
  <si>
    <t>11 b. (28.)</t>
  </si>
  <si>
    <t>53 b. (10.)</t>
  </si>
  <si>
    <t>66 b. (10.)</t>
  </si>
  <si>
    <t>67 b. (9.)</t>
  </si>
  <si>
    <t>77 b. (5.)</t>
  </si>
  <si>
    <t>21 b. (25.)</t>
  </si>
  <si>
    <t>29 b. (23.)</t>
  </si>
  <si>
    <t>96 b. (1.)</t>
  </si>
  <si>
    <t>73 b. (7.)</t>
  </si>
  <si>
    <t>71 b. (8.)</t>
  </si>
  <si>
    <t>65 b. (10.)</t>
  </si>
  <si>
    <t>62 b. (11.)</t>
  </si>
  <si>
    <t>67 b. (7.)</t>
  </si>
  <si>
    <t>1 b. (27.)</t>
  </si>
  <si>
    <t>0 b. (27.)</t>
  </si>
  <si>
    <t>4 b. (27.)</t>
  </si>
  <si>
    <t>8 b. (26.)</t>
  </si>
  <si>
    <t>34 b. (21.)</t>
  </si>
  <si>
    <t>41 b. (20.)</t>
  </si>
  <si>
    <t>93 b. (1.)</t>
  </si>
  <si>
    <t>87 b. (3.)</t>
  </si>
  <si>
    <t>61 b. (11.)</t>
  </si>
  <si>
    <t>89 b. (1.)</t>
  </si>
  <si>
    <t>62 b. (10.)</t>
  </si>
  <si>
    <t>61 b. (10.)</t>
  </si>
  <si>
    <t>76 b. (6.)</t>
  </si>
  <si>
    <t>12 b. (26.)</t>
  </si>
  <si>
    <t>27 b. (25.)</t>
  </si>
  <si>
    <t>93 b. (2.)</t>
  </si>
  <si>
    <t>6 b. (28.)</t>
  </si>
  <si>
    <t>9 b. (26.)</t>
  </si>
  <si>
    <t>56 b. (13.)</t>
  </si>
  <si>
    <t>80 b. (4.)</t>
  </si>
  <si>
    <t>51 b. (14.)</t>
  </si>
  <si>
    <t>50 b. (15.)</t>
  </si>
  <si>
    <t>70 b. (4.)</t>
  </si>
  <si>
    <t>12 b. (25.)</t>
  </si>
  <si>
    <t>20 b. (24.)</t>
  </si>
  <si>
    <t>18 b. (24.)</t>
  </si>
  <si>
    <t>96 b. (3.)</t>
  </si>
  <si>
    <t>49 b. (17.)</t>
  </si>
  <si>
    <t>8 b. (27.)</t>
  </si>
  <si>
    <t>14 b. (25.)</t>
  </si>
  <si>
    <t>51 b. (16.)</t>
  </si>
  <si>
    <t>22 b. (23.)</t>
  </si>
  <si>
    <t>11 b. (26.)</t>
  </si>
  <si>
    <t>16 b. (25.)</t>
  </si>
  <si>
    <t>44 b. (18.)</t>
  </si>
  <si>
    <t>48 b. (17.)</t>
  </si>
  <si>
    <t>72 b. (4.)</t>
  </si>
  <si>
    <t>73 b. (4.)</t>
  </si>
  <si>
    <t>72 b. (3.)</t>
  </si>
  <si>
    <t>38 b. (16.)</t>
  </si>
  <si>
    <t>37 b. (17.)</t>
  </si>
  <si>
    <t>35 b. (18.)</t>
  </si>
  <si>
    <t>45 b. (14.)</t>
  </si>
  <si>
    <t>40 b. (15.)</t>
  </si>
  <si>
    <t>43 b. (13.)</t>
  </si>
  <si>
    <t>76 b. (4.)</t>
  </si>
  <si>
    <t>29 b. (24.)</t>
  </si>
  <si>
    <t>14 b. (28.)</t>
  </si>
  <si>
    <t>75 b. (3.)</t>
  </si>
  <si>
    <t>26 b. (25.)</t>
  </si>
  <si>
    <t>17 b. (27.)</t>
  </si>
  <si>
    <t>18 b. (28.)</t>
  </si>
  <si>
    <t>36 b. (17.)</t>
  </si>
  <si>
    <t>27 b. (28.)</t>
  </si>
  <si>
    <t>25 b. (26.)</t>
  </si>
  <si>
    <t>Podíl domácností připojených k širokopásmovému internetu</t>
  </si>
  <si>
    <t>Podíl domácností s širokopásmovým internetem</t>
  </si>
  <si>
    <t>Data</t>
  </si>
  <si>
    <t>Years cell-link</t>
  </si>
  <si>
    <t>Countries cell-link</t>
  </si>
  <si>
    <t>Countries</t>
  </si>
  <si>
    <t>Labor Costs</t>
  </si>
  <si>
    <t xml:space="preserve"> výdaje na vzdělávání vůči HDP</t>
  </si>
  <si>
    <t>Wages</t>
  </si>
  <si>
    <t>Unemployment</t>
  </si>
  <si>
    <t>Unemployment rate by sex and age groups - annual average,  % [une_rt_a]</t>
  </si>
  <si>
    <t>Last update</t>
  </si>
  <si>
    <t>Extracted on</t>
  </si>
  <si>
    <t>Source of data</t>
  </si>
  <si>
    <t>Eurostat</t>
  </si>
  <si>
    <t>S_ADJ</t>
  </si>
  <si>
    <t>Not seasonally adjusted data</t>
  </si>
  <si>
    <t>AGE</t>
  </si>
  <si>
    <t>Total</t>
  </si>
  <si>
    <t>SEX</t>
  </si>
  <si>
    <t>GEO/TIME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</si>
  <si>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</si>
  <si>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</si>
  <si>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</si>
  <si>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</si>
  <si>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</si>
  <si>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</si>
  <si>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</si>
  <si>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</si>
  <si>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</si>
  <si>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</si>
  <si>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European Union (28 countries)</t>
  </si>
  <si>
    <t>European Union (27 countries)</t>
  </si>
  <si>
    <t>European Union (25 countries)</t>
  </si>
  <si>
    <t>European Union (15 countries)</t>
  </si>
  <si>
    <t>Euro area (EA11-2000, EA12-2006, EA13-2007, EA15-2008, EA16-2010, EA17-2013, EA18-2014, EA19)</t>
  </si>
  <si>
    <t>Euro area (19 countries)</t>
  </si>
  <si>
    <t>Euro area (18 countries)</t>
  </si>
  <si>
    <t>Euro area (17 countries)</t>
  </si>
  <si>
    <t>Euro area (16 countries)</t>
  </si>
  <si>
    <t>Euro area (15 countries)</t>
  </si>
  <si>
    <t>Euro area (13 countries)</t>
  </si>
  <si>
    <t>Euro area (12 countries)</t>
  </si>
  <si>
    <t>Iceland</t>
  </si>
  <si>
    <t>Norway</t>
  </si>
  <si>
    <t>Turkey</t>
  </si>
  <si>
    <t>United States</t>
  </si>
  <si>
    <t>Japan</t>
  </si>
  <si>
    <t>Special value:</t>
  </si>
  <si>
    <t>:</t>
  </si>
  <si>
    <t>not available</t>
  </si>
  <si>
    <t>At-risk-of-poverty rate by poverty threshold, age and sex (source: SILC) [ilc_li02]</t>
  </si>
  <si>
    <t>UNIT</t>
  </si>
  <si>
    <t>Percentage of total population</t>
  </si>
  <si>
    <t>INDIC_IL</t>
  </si>
  <si>
    <t>At risk of poverty rate (cut-off point: 60% of median equivalised income after social transfers)</t>
  </si>
  <si>
    <t>New Member States (12 countries)</t>
  </si>
  <si>
    <t>New Member States (10 countries)</t>
  </si>
  <si>
    <t>At-risk of poverty</t>
  </si>
  <si>
    <t>tblRaD</t>
  </si>
  <si>
    <t>tblPatents</t>
  </si>
  <si>
    <t>tblGraduates</t>
  </si>
  <si>
    <t>tblDocuments</t>
  </si>
  <si>
    <t>tblVentureCap</t>
  </si>
  <si>
    <t>tblBroadband</t>
  </si>
  <si>
    <t>tblEducExp</t>
  </si>
  <si>
    <t>tblExports</t>
  </si>
  <si>
    <t>tbleGovernment</t>
  </si>
  <si>
    <t>tblEIB</t>
  </si>
  <si>
    <t>Matematika</t>
  </si>
  <si>
    <t>Porozumění textu</t>
  </si>
  <si>
    <t>Věda</t>
  </si>
  <si>
    <t>Průměr</t>
  </si>
  <si>
    <t>Zdroj: OECD, Malta chybí</t>
  </si>
  <si>
    <t>PISA(body)</t>
  </si>
  <si>
    <t>PISA (pořadí)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</si>
</sst>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0"/>
    <numFmt numFmtId="166" formatCode="dd\.mm\.yy"/>
    <numFmt numFmtId="167" formatCode="#,##0.0"/>
  </numFmts>
  <fonts count="1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sz val="13"/>
      <color indexed="56"/>
      <name val="Calibri"/>
      <family val="2"/>
    </font>
    <font>
      <u/>
      <sz val="10"/>
      <color indexed="12"/>
      <name val="Arial"/>
      <family val="2"/>
      <charset val="238"/>
    </font>
    <font>
      <sz val="11"/>
      <color indexed="8"/>
      <name val="Calibri"/>
      <family val="2"/>
      <charset val="204"/>
    </font>
    <font>
      <sz val="11"/>
      <name val="Arial"/>
      <family val="2"/>
      <charset val="238"/>
    </font>
    <font>
      <sz val="8"/>
      <name val="Tahoma"/>
      <family val="2"/>
      <charset val="238"/>
    </font>
    <font>
      <b/>
      <sz val="24"/>
      <color rgb="FFFF00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9"/>
      <color rgb="FF000000"/>
      <name val="Calibri"/>
      <family val="2"/>
      <charset val="23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7D4EE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CCFF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indexed="44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theme="0" tint="-0.24994659260841701"/>
      </right>
      <top style="thin">
        <color indexed="64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indexed="64"/>
      </top>
      <bottom/>
      <diagonal/>
    </border>
    <border>
      <left style="dotted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 style="dotted">
        <color theme="0" tint="-0.24994659260841701"/>
      </right>
      <top/>
      <bottom style="thin">
        <color indexed="64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indexed="64"/>
      </bottom>
      <diagonal/>
    </border>
    <border>
      <left style="dotted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2" fillId="0" borderId="0"/>
    <xf numFmtId="0" fontId="2" fillId="0" borderId="0"/>
    <xf numFmtId="0" fontId="8" fillId="0" borderId="37" applyNumberFormat="0" applyFill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8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0" borderId="0" xfId="0" applyBorder="1"/>
    <xf numFmtId="0" fontId="0" fillId="0" borderId="5" xfId="0" applyBorder="1"/>
    <xf numFmtId="0" fontId="0" fillId="4" borderId="6" xfId="0" applyFill="1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2" fontId="0" fillId="0" borderId="7" xfId="0" applyNumberFormat="1" applyBorder="1"/>
    <xf numFmtId="2" fontId="0" fillId="0" borderId="0" xfId="0" applyNumberFormat="1" applyBorder="1"/>
    <xf numFmtId="1" fontId="0" fillId="0" borderId="0" xfId="0" applyNumberFormat="1" applyBorder="1"/>
    <xf numFmtId="1" fontId="0" fillId="0" borderId="5" xfId="0" applyNumberFormat="1" applyBorder="1"/>
    <xf numFmtId="1" fontId="0" fillId="0" borderId="7" xfId="0" applyNumberFormat="1" applyBorder="1"/>
    <xf numFmtId="1" fontId="0" fillId="0" borderId="8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Fill="1" applyBorder="1"/>
    <xf numFmtId="0" fontId="0" fillId="0" borderId="15" xfId="0" applyBorder="1"/>
    <xf numFmtId="0" fontId="0" fillId="0" borderId="16" xfId="0" applyFill="1" applyBorder="1"/>
    <xf numFmtId="0" fontId="0" fillId="0" borderId="0" xfId="0" applyFill="1" applyBorder="1"/>
    <xf numFmtId="0" fontId="0" fillId="0" borderId="15" xfId="0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8" xfId="0" applyBorder="1"/>
    <xf numFmtId="0" fontId="0" fillId="0" borderId="19" xfId="0" applyFill="1" applyBorder="1"/>
    <xf numFmtId="0" fontId="1" fillId="0" borderId="0" xfId="0" applyFont="1" applyBorder="1"/>
    <xf numFmtId="0" fontId="1" fillId="0" borderId="0" xfId="0" applyFont="1" applyFill="1" applyBorder="1"/>
    <xf numFmtId="0" fontId="3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Border="1" applyAlignment="1">
      <alignment horizontal="center"/>
    </xf>
    <xf numFmtId="0" fontId="5" fillId="0" borderId="18" xfId="1" applyNumberFormat="1" applyFont="1" applyFill="1" applyBorder="1" applyAlignment="1"/>
    <xf numFmtId="0" fontId="1" fillId="0" borderId="18" xfId="0" applyFont="1" applyBorder="1" applyAlignment="1">
      <alignment horizontal="left"/>
    </xf>
    <xf numFmtId="0" fontId="1" fillId="0" borderId="18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6" fillId="5" borderId="0" xfId="0" applyFont="1" applyFill="1"/>
    <xf numFmtId="0" fontId="5" fillId="6" borderId="20" xfId="1" applyNumberFormat="1" applyFont="1" applyFill="1" applyBorder="1" applyAlignment="1"/>
    <xf numFmtId="0" fontId="5" fillId="6" borderId="12" xfId="1" applyNumberFormat="1" applyFont="1" applyFill="1" applyBorder="1" applyAlignment="1"/>
    <xf numFmtId="0" fontId="5" fillId="6" borderId="13" xfId="1" applyNumberFormat="1" applyFont="1" applyFill="1" applyBorder="1" applyAlignment="1"/>
    <xf numFmtId="0" fontId="5" fillId="6" borderId="14" xfId="1" applyNumberFormat="1" applyFont="1" applyFill="1" applyBorder="1" applyAlignment="1"/>
    <xf numFmtId="0" fontId="5" fillId="7" borderId="21" xfId="1" applyNumberFormat="1" applyFont="1" applyFill="1" applyBorder="1" applyAlignment="1"/>
    <xf numFmtId="0" fontId="5" fillId="7" borderId="22" xfId="1" applyNumberFormat="1" applyFont="1" applyFill="1" applyBorder="1" applyAlignment="1"/>
    <xf numFmtId="0" fontId="5" fillId="7" borderId="23" xfId="1" applyNumberFormat="1" applyFont="1" applyFill="1" applyBorder="1" applyAlignment="1"/>
    <xf numFmtId="0" fontId="2" fillId="6" borderId="24" xfId="1" applyFont="1" applyFill="1" applyBorder="1" applyAlignment="1"/>
    <xf numFmtId="2" fontId="2" fillId="0" borderId="13" xfId="2" applyNumberFormat="1" applyBorder="1"/>
    <xf numFmtId="2" fontId="2" fillId="0" borderId="14" xfId="2" applyNumberFormat="1" applyBorder="1"/>
    <xf numFmtId="2" fontId="2" fillId="0" borderId="12" xfId="1" applyNumberFormat="1" applyFont="1" applyBorder="1"/>
    <xf numFmtId="2" fontId="2" fillId="0" borderId="13" xfId="1" applyNumberFormat="1" applyFont="1" applyBorder="1"/>
    <xf numFmtId="2" fontId="2" fillId="0" borderId="14" xfId="1" applyNumberFormat="1" applyFont="1" applyBorder="1"/>
    <xf numFmtId="0" fontId="2" fillId="6" borderId="25" xfId="1" applyFont="1" applyFill="1" applyBorder="1" applyAlignment="1"/>
    <xf numFmtId="2" fontId="2" fillId="0" borderId="0" xfId="2" applyNumberFormat="1" applyBorder="1"/>
    <xf numFmtId="2" fontId="2" fillId="0" borderId="16" xfId="2" applyNumberFormat="1" applyBorder="1"/>
    <xf numFmtId="2" fontId="2" fillId="0" borderId="15" xfId="1" applyNumberFormat="1" applyBorder="1"/>
    <xf numFmtId="2" fontId="2" fillId="0" borderId="0" xfId="1" applyNumberFormat="1" applyBorder="1"/>
    <xf numFmtId="2" fontId="2" fillId="0" borderId="16" xfId="1" applyNumberFormat="1" applyBorder="1"/>
    <xf numFmtId="0" fontId="2" fillId="6" borderId="26" xfId="1" applyFont="1" applyFill="1" applyBorder="1" applyAlignment="1"/>
    <xf numFmtId="2" fontId="2" fillId="0" borderId="18" xfId="2" applyNumberFormat="1" applyBorder="1"/>
    <xf numFmtId="2" fontId="2" fillId="0" borderId="19" xfId="2" applyNumberFormat="1" applyBorder="1"/>
    <xf numFmtId="2" fontId="2" fillId="0" borderId="17" xfId="1" applyNumberFormat="1" applyBorder="1"/>
    <xf numFmtId="2" fontId="2" fillId="0" borderId="18" xfId="1" applyNumberFormat="1" applyBorder="1"/>
    <xf numFmtId="2" fontId="2" fillId="0" borderId="19" xfId="1" applyNumberFormat="1" applyBorder="1"/>
    <xf numFmtId="0" fontId="0" fillId="2" borderId="0" xfId="0" applyFill="1" applyBorder="1"/>
    <xf numFmtId="0" fontId="0" fillId="2" borderId="4" xfId="0" applyFill="1" applyBorder="1"/>
    <xf numFmtId="0" fontId="0" fillId="2" borderId="5" xfId="0" applyFill="1" applyBorder="1"/>
    <xf numFmtId="1" fontId="0" fillId="0" borderId="4" xfId="0" applyNumberFormat="1" applyBorder="1"/>
    <xf numFmtId="1" fontId="0" fillId="0" borderId="6" xfId="0" applyNumberFormat="1" applyBorder="1"/>
    <xf numFmtId="0" fontId="1" fillId="3" borderId="1" xfId="0" applyFont="1" applyFill="1" applyBorder="1"/>
    <xf numFmtId="0" fontId="1" fillId="3" borderId="4" xfId="0" applyFont="1" applyFill="1" applyBorder="1"/>
    <xf numFmtId="0" fontId="5" fillId="6" borderId="27" xfId="1" applyNumberFormat="1" applyFont="1" applyFill="1" applyBorder="1" applyAlignment="1"/>
    <xf numFmtId="0" fontId="2" fillId="6" borderId="20" xfId="1" applyNumberFormat="1" applyFont="1" applyFill="1" applyBorder="1" applyAlignment="1"/>
    <xf numFmtId="1" fontId="0" fillId="0" borderId="0" xfId="0" applyNumberFormat="1" applyFill="1" applyBorder="1"/>
    <xf numFmtId="164" fontId="0" fillId="0" borderId="0" xfId="0" applyNumberFormat="1" applyBorder="1"/>
    <xf numFmtId="164" fontId="0" fillId="0" borderId="7" xfId="0" applyNumberFormat="1" applyBorder="1"/>
    <xf numFmtId="165" fontId="0" fillId="0" borderId="0" xfId="0" applyNumberFormat="1" applyBorder="1"/>
    <xf numFmtId="165" fontId="0" fillId="0" borderId="7" xfId="0" applyNumberFormat="1" applyBorder="1"/>
    <xf numFmtId="2" fontId="2" fillId="0" borderId="28" xfId="2" applyNumberFormat="1" applyBorder="1" applyAlignment="1">
      <alignment horizontal="center" vertical="center"/>
    </xf>
    <xf numFmtId="2" fontId="2" fillId="0" borderId="29" xfId="2" applyNumberFormat="1" applyBorder="1" applyAlignment="1">
      <alignment horizontal="center" vertical="center"/>
    </xf>
    <xf numFmtId="2" fontId="2" fillId="0" borderId="30" xfId="2" applyNumberFormat="1" applyBorder="1" applyAlignment="1">
      <alignment horizontal="center" vertical="center"/>
    </xf>
    <xf numFmtId="2" fontId="2" fillId="0" borderId="31" xfId="2" applyNumberFormat="1" applyBorder="1" applyAlignment="1">
      <alignment horizontal="center" vertical="center"/>
    </xf>
    <xf numFmtId="2" fontId="2" fillId="0" borderId="32" xfId="2" applyNumberFormat="1" applyBorder="1" applyAlignment="1">
      <alignment horizontal="center" vertical="center"/>
    </xf>
    <xf numFmtId="2" fontId="2" fillId="0" borderId="33" xfId="2" applyNumberFormat="1" applyBorder="1" applyAlignment="1">
      <alignment horizontal="center" vertical="center"/>
    </xf>
    <xf numFmtId="2" fontId="2" fillId="0" borderId="34" xfId="2" applyNumberFormat="1" applyBorder="1" applyAlignment="1">
      <alignment horizontal="center" vertical="center"/>
    </xf>
    <xf numFmtId="2" fontId="2" fillId="0" borderId="35" xfId="2" applyNumberFormat="1" applyBorder="1" applyAlignment="1">
      <alignment horizontal="center" vertical="center"/>
    </xf>
    <xf numFmtId="2" fontId="2" fillId="0" borderId="36" xfId="2" applyNumberFormat="1" applyBorder="1" applyAlignment="1">
      <alignment horizontal="center" vertical="center"/>
    </xf>
    <xf numFmtId="0" fontId="5" fillId="7" borderId="13" xfId="1" applyNumberFormat="1" applyFont="1" applyFill="1" applyBorder="1" applyAlignment="1">
      <alignment horizontal="center" vertical="center"/>
    </xf>
    <xf numFmtId="0" fontId="5" fillId="7" borderId="14" xfId="1" applyNumberFormat="1" applyFont="1" applyFill="1" applyBorder="1" applyAlignment="1">
      <alignment horizontal="center" vertical="center"/>
    </xf>
    <xf numFmtId="0" fontId="2" fillId="7" borderId="18" xfId="1" applyNumberFormat="1" applyFont="1" applyFill="1" applyBorder="1" applyAlignment="1">
      <alignment horizontal="center" vertical="center"/>
    </xf>
    <xf numFmtId="0" fontId="2" fillId="7" borderId="19" xfId="1" applyNumberFormat="1" applyFont="1" applyFill="1" applyBorder="1" applyAlignment="1">
      <alignment horizontal="center" vertical="center"/>
    </xf>
    <xf numFmtId="0" fontId="5" fillId="6" borderId="12" xfId="1" applyNumberFormat="1" applyFont="1" applyFill="1" applyBorder="1" applyAlignment="1">
      <alignment horizontal="center" vertical="center"/>
    </xf>
    <xf numFmtId="0" fontId="5" fillId="6" borderId="13" xfId="1" applyNumberFormat="1" applyFont="1" applyFill="1" applyBorder="1" applyAlignment="1">
      <alignment horizontal="center" vertical="center"/>
    </xf>
    <xf numFmtId="0" fontId="5" fillId="6" borderId="14" xfId="1" applyNumberFormat="1" applyFont="1" applyFill="1" applyBorder="1" applyAlignment="1">
      <alignment horizontal="center" vertical="center"/>
    </xf>
    <xf numFmtId="0" fontId="2" fillId="6" borderId="17" xfId="1" applyNumberFormat="1" applyFont="1" applyFill="1" applyBorder="1" applyAlignment="1">
      <alignment horizontal="center" vertical="center"/>
    </xf>
    <xf numFmtId="0" fontId="2" fillId="6" borderId="18" xfId="1" applyNumberFormat="1" applyFont="1" applyFill="1" applyBorder="1" applyAlignment="1">
      <alignment horizontal="center" vertical="center"/>
    </xf>
    <xf numFmtId="0" fontId="2" fillId="6" borderId="19" xfId="1" applyNumberFormat="1" applyFont="1" applyFill="1" applyBorder="1" applyAlignment="1">
      <alignment horizontal="center" vertical="center"/>
    </xf>
    <xf numFmtId="0" fontId="5" fillId="0" borderId="0" xfId="13" applyFont="1"/>
    <xf numFmtId="0" fontId="2" fillId="0" borderId="0" xfId="13"/>
    <xf numFmtId="0" fontId="5" fillId="8" borderId="38" xfId="13" applyFont="1" applyFill="1" applyBorder="1"/>
    <xf numFmtId="0" fontId="5" fillId="8" borderId="38" xfId="13" applyFont="1" applyFill="1" applyBorder="1" applyAlignment="1">
      <alignment horizontal="center" wrapText="1"/>
    </xf>
    <xf numFmtId="0" fontId="2" fillId="9" borderId="38" xfId="13" applyFill="1" applyBorder="1"/>
    <xf numFmtId="164" fontId="2" fillId="9" borderId="38" xfId="13" applyNumberFormat="1" applyFill="1" applyBorder="1"/>
    <xf numFmtId="1" fontId="2" fillId="0" borderId="12" xfId="1" applyNumberFormat="1" applyFill="1" applyBorder="1"/>
    <xf numFmtId="0" fontId="0" fillId="0" borderId="14" xfId="0" applyBorder="1"/>
    <xf numFmtId="0" fontId="2" fillId="0" borderId="38" xfId="13" applyBorder="1"/>
    <xf numFmtId="1" fontId="2" fillId="0" borderId="15" xfId="1" applyNumberFormat="1" applyFill="1" applyBorder="1"/>
    <xf numFmtId="0" fontId="0" fillId="0" borderId="16" xfId="0" applyBorder="1"/>
    <xf numFmtId="1" fontId="2" fillId="0" borderId="17" xfId="1" applyNumberFormat="1" applyFill="1" applyBorder="1"/>
    <xf numFmtId="0" fontId="0" fillId="0" borderId="19" xfId="0" applyBorder="1"/>
    <xf numFmtId="0" fontId="2" fillId="9" borderId="38" xfId="13" applyFont="1" applyFill="1" applyBorder="1"/>
    <xf numFmtId="0" fontId="5" fillId="10" borderId="38" xfId="13" applyFont="1" applyFill="1" applyBorder="1"/>
    <xf numFmtId="0" fontId="5" fillId="10" borderId="38" xfId="13" applyFont="1" applyFill="1" applyBorder="1" applyAlignment="1">
      <alignment horizontal="center" wrapText="1"/>
    </xf>
    <xf numFmtId="0" fontId="2" fillId="11" borderId="38" xfId="13" applyFont="1" applyFill="1" applyBorder="1"/>
    <xf numFmtId="164" fontId="2" fillId="11" borderId="38" xfId="13" applyNumberFormat="1" applyFont="1" applyFill="1" applyBorder="1"/>
    <xf numFmtId="0" fontId="0" fillId="0" borderId="17" xfId="0" applyBorder="1"/>
    <xf numFmtId="0" fontId="13" fillId="0" borderId="0" xfId="0" applyFont="1" applyAlignment="1">
      <alignment wrapText="1"/>
    </xf>
    <xf numFmtId="2" fontId="0" fillId="0" borderId="0" xfId="0" applyNumberFormat="1"/>
    <xf numFmtId="1" fontId="14" fillId="0" borderId="0" xfId="0" applyNumberFormat="1" applyFont="1" applyBorder="1"/>
    <xf numFmtId="1" fontId="14" fillId="0" borderId="5" xfId="0" applyNumberFormat="1" applyFont="1" applyBorder="1"/>
    <xf numFmtId="1" fontId="14" fillId="0" borderId="4" xfId="0" applyNumberFormat="1" applyFont="1" applyBorder="1"/>
    <xf numFmtId="3" fontId="14" fillId="0" borderId="5" xfId="0" applyNumberFormat="1" applyFont="1" applyBorder="1"/>
    <xf numFmtId="164" fontId="0" fillId="0" borderId="0" xfId="0" applyNumberFormat="1"/>
    <xf numFmtId="0" fontId="0" fillId="0" borderId="38" xfId="0" applyBorder="1"/>
    <xf numFmtId="1" fontId="0" fillId="0" borderId="0" xfId="0" applyNumberFormat="1"/>
    <xf numFmtId="1" fontId="0" fillId="0" borderId="2" xfId="0" applyNumberFormat="1" applyBorder="1"/>
    <xf numFmtId="1" fontId="0" fillId="0" borderId="3" xfId="0" applyNumberFormat="1" applyBorder="1"/>
    <xf numFmtId="0" fontId="1" fillId="0" borderId="39" xfId="0" applyFont="1" applyFill="1" applyBorder="1"/>
    <xf numFmtId="0" fontId="0" fillId="0" borderId="40" xfId="0" applyFill="1" applyBorder="1"/>
    <xf numFmtId="0" fontId="0" fillId="0" borderId="41" xfId="0" applyFill="1" applyBorder="1"/>
    <xf numFmtId="0" fontId="1" fillId="0" borderId="41" xfId="0" applyFont="1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9" fontId="0" fillId="0" borderId="2" xfId="17" applyFont="1" applyBorder="1"/>
    <xf numFmtId="9" fontId="0" fillId="0" borderId="3" xfId="17" applyFont="1" applyBorder="1"/>
    <xf numFmtId="9" fontId="0" fillId="0" borderId="0" xfId="17" applyFont="1" applyBorder="1"/>
    <xf numFmtId="9" fontId="0" fillId="0" borderId="5" xfId="17" applyFont="1" applyBorder="1"/>
    <xf numFmtId="9" fontId="0" fillId="0" borderId="7" xfId="17" applyFont="1" applyBorder="1"/>
    <xf numFmtId="9" fontId="0" fillId="0" borderId="8" xfId="17" applyFont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1" fillId="0" borderId="0" xfId="8"/>
    <xf numFmtId="0" fontId="2" fillId="0" borderId="0" xfId="8" applyNumberFormat="1" applyFont="1" applyFill="1" applyBorder="1" applyAlignment="1"/>
    <xf numFmtId="166" fontId="2" fillId="0" borderId="0" xfId="8" applyNumberFormat="1" applyFont="1" applyFill="1" applyBorder="1" applyAlignment="1"/>
    <xf numFmtId="0" fontId="2" fillId="12" borderId="42" xfId="8" applyNumberFormat="1" applyFont="1" applyFill="1" applyBorder="1" applyAlignment="1"/>
    <xf numFmtId="167" fontId="2" fillId="0" borderId="42" xfId="8" applyNumberFormat="1" applyFont="1" applyFill="1" applyBorder="1" applyAlignment="1"/>
    <xf numFmtId="10" fontId="0" fillId="0" borderId="2" xfId="17" applyNumberFormat="1" applyFont="1" applyBorder="1"/>
    <xf numFmtId="10" fontId="0" fillId="0" borderId="3" xfId="17" applyNumberFormat="1" applyFont="1" applyBorder="1"/>
    <xf numFmtId="10" fontId="0" fillId="0" borderId="0" xfId="17" applyNumberFormat="1" applyFont="1" applyBorder="1"/>
    <xf numFmtId="10" fontId="0" fillId="0" borderId="5" xfId="17" applyNumberFormat="1" applyFont="1" applyBorder="1"/>
    <xf numFmtId="10" fontId="0" fillId="0" borderId="7" xfId="17" applyNumberFormat="1" applyFont="1" applyBorder="1"/>
    <xf numFmtId="10" fontId="0" fillId="0" borderId="8" xfId="17" applyNumberFormat="1" applyFont="1" applyBorder="1"/>
    <xf numFmtId="0" fontId="2" fillId="0" borderId="0" xfId="0" applyNumberFormat="1" applyFont="1" applyFill="1" applyBorder="1" applyAlignment="1"/>
    <xf numFmtId="166" fontId="2" fillId="0" borderId="0" xfId="0" applyNumberFormat="1" applyFont="1" applyFill="1" applyBorder="1" applyAlignment="1"/>
    <xf numFmtId="0" fontId="2" fillId="12" borderId="42" xfId="0" applyNumberFormat="1" applyFont="1" applyFill="1" applyBorder="1" applyAlignment="1"/>
    <xf numFmtId="0" fontId="2" fillId="0" borderId="42" xfId="0" applyNumberFormat="1" applyFont="1" applyFill="1" applyBorder="1" applyAlignment="1"/>
    <xf numFmtId="167" fontId="2" fillId="0" borderId="42" xfId="0" applyNumberFormat="1" applyFont="1" applyFill="1" applyBorder="1" applyAlignment="1"/>
    <xf numFmtId="3" fontId="2" fillId="0" borderId="42" xfId="0" applyNumberFormat="1" applyFont="1" applyFill="1" applyBorder="1" applyAlignment="1"/>
    <xf numFmtId="0" fontId="1" fillId="0" borderId="43" xfId="0" applyFont="1" applyBorder="1"/>
    <xf numFmtId="0" fontId="1" fillId="0" borderId="10" xfId="0" applyFont="1" applyBorder="1" applyAlignment="1">
      <alignment horizontal="center"/>
    </xf>
    <xf numFmtId="0" fontId="0" fillId="0" borderId="4" xfId="0" applyBorder="1"/>
    <xf numFmtId="1" fontId="0" fillId="0" borderId="1" xfId="0" applyNumberFormat="1" applyBorder="1"/>
    <xf numFmtId="1" fontId="0" fillId="0" borderId="39" xfId="0" applyNumberFormat="1" applyBorder="1"/>
    <xf numFmtId="1" fontId="0" fillId="0" borderId="40" xfId="0" applyNumberFormat="1" applyBorder="1"/>
    <xf numFmtId="0" fontId="0" fillId="0" borderId="6" xfId="0" applyBorder="1"/>
    <xf numFmtId="1" fontId="0" fillId="0" borderId="41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" fontId="2" fillId="0" borderId="13" xfId="1" applyNumberFormat="1" applyFont="1" applyBorder="1" applyAlignment="1">
      <alignment horizontal="center" vertical="center"/>
    </xf>
    <xf numFmtId="1" fontId="2" fillId="0" borderId="14" xfId="1" applyNumberFormat="1" applyFont="1" applyBorder="1" applyAlignment="1">
      <alignment horizontal="center" vertical="center"/>
    </xf>
    <xf numFmtId="1" fontId="2" fillId="0" borderId="0" xfId="1" applyNumberFormat="1" applyBorder="1" applyAlignment="1">
      <alignment horizontal="center" vertical="center"/>
    </xf>
    <xf numFmtId="1" fontId="2" fillId="0" borderId="16" xfId="1" applyNumberFormat="1" applyBorder="1" applyAlignment="1">
      <alignment horizontal="center" vertical="center"/>
    </xf>
    <xf numFmtId="1" fontId="2" fillId="0" borderId="18" xfId="1" applyNumberFormat="1" applyBorder="1" applyAlignment="1">
      <alignment horizontal="center" vertical="center"/>
    </xf>
    <xf numFmtId="1" fontId="2" fillId="0" borderId="19" xfId="1" applyNumberFormat="1" applyBorder="1" applyAlignment="1">
      <alignment horizontal="center" vertical="center"/>
    </xf>
  </cellXfs>
  <cellStyles count="18">
    <cellStyle name="Heading 2 2" xfId="3"/>
    <cellStyle name="Hyperlink 2" xfId="4"/>
    <cellStyle name="Normal 10" xfId="5"/>
    <cellStyle name="Normal 2" xfId="1"/>
    <cellStyle name="Normal 3" xfId="2"/>
    <cellStyle name="Normal 3 2" xfId="6"/>
    <cellStyle name="Normal 4" xfId="7"/>
    <cellStyle name="Normální" xfId="0" builtinId="0"/>
    <cellStyle name="Normální 2" xfId="8"/>
    <cellStyle name="Normální 2 2" xfId="9"/>
    <cellStyle name="Normální 2 2 2" xfId="10"/>
    <cellStyle name="Normální 3" xfId="11"/>
    <cellStyle name="Normální 3 2" xfId="12"/>
    <cellStyle name="normální_Index_data" xfId="13"/>
    <cellStyle name="Percent 2" xfId="14"/>
    <cellStyle name="Percent 3" xfId="15"/>
    <cellStyle name="Percent 3 2" xfId="16"/>
    <cellStyle name="Procenta" xfId="17" builtinId="5"/>
  </cellStyles>
  <dxfs count="0"/>
  <tableStyles count="0" defaultTableStyle="TableStyleMedium2" defaultPivotStyle="PivotStyleLight16"/>
  <colors>
    <mruColors>
      <color rgb="FFFF6600"/>
      <color rgb="FFDAEB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chartsheet" Target="chartsheets/sheet6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4.xml"/><Relationship Id="rId12" Type="http://schemas.openxmlformats.org/officeDocument/2006/relationships/chartsheet" Target="chartsheets/sheet5.xml"/><Relationship Id="rId17" Type="http://schemas.openxmlformats.org/officeDocument/2006/relationships/externalLink" Target="externalLinks/externalLink1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worksheet" Target="worksheets/sheet7.xml"/><Relationship Id="rId5" Type="http://schemas.openxmlformats.org/officeDocument/2006/relationships/worksheet" Target="worksheets/sheet3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4.xml"/><Relationship Id="rId19" Type="http://schemas.openxmlformats.org/officeDocument/2006/relationships/styles" Target="styles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6.xml"/><Relationship Id="rId14" Type="http://schemas.openxmlformats.org/officeDocument/2006/relationships/worksheet" Target="worksheets/sheet8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Inovační Barometr (2015)</a:t>
            </a:r>
          </a:p>
        </c:rich>
      </c:tx>
      <c:layout>
        <c:manualLayout>
          <c:xMode val="edge"/>
          <c:yMode val="edge"/>
          <c:x val="0.30208329577949478"/>
          <c:y val="1.34680134680134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9583333333333331E-2"/>
          <c:y val="9.7643097643097643E-2"/>
          <c:w val="0.95208333333333328"/>
          <c:h val="0.690235690235690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Souhrnny_graf_input!$B$2</c:f>
              <c:strCache>
                <c:ptCount val="1"/>
                <c:pt idx="0">
                  <c:v>Výdaje na R&amp;D k HDP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Souhrnny_graf_input!$B$3:$B$30</c:f>
              <c:numCache>
                <c:formatCode>0.0</c:formatCode>
                <c:ptCount val="28"/>
                <c:pt idx="0">
                  <c:v>10.160104230365947</c:v>
                </c:pt>
                <c:pt idx="1">
                  <c:v>10.950726101874718</c:v>
                </c:pt>
                <c:pt idx="2">
                  <c:v>10.919101227014366</c:v>
                </c:pt>
                <c:pt idx="3">
                  <c:v>6.7446177454480578</c:v>
                </c:pt>
                <c:pt idx="4">
                  <c:v>5.6377471253357783</c:v>
                </c:pt>
                <c:pt idx="5">
                  <c:v>5.4236249122726807</c:v>
                </c:pt>
                <c:pt idx="6">
                  <c:v>9.3694823588571765</c:v>
                </c:pt>
                <c:pt idx="7">
                  <c:v>7.5352396169568294</c:v>
                </c:pt>
                <c:pt idx="8">
                  <c:v>9.4959818582985793</c:v>
                </c:pt>
                <c:pt idx="9">
                  <c:v>4.1513780068992894</c:v>
                </c:pt>
                <c:pt idx="10">
                  <c:v>7.6933639912585825</c:v>
                </c:pt>
                <c:pt idx="11">
                  <c:v>5.9856207487996373</c:v>
                </c:pt>
                <c:pt idx="12">
                  <c:v>3.1710068862284144</c:v>
                </c:pt>
                <c:pt idx="13">
                  <c:v>8.6737351119294583</c:v>
                </c:pt>
                <c:pt idx="14">
                  <c:v>4.783875504106307</c:v>
                </c:pt>
                <c:pt idx="15">
                  <c:v>6.5232436214256024</c:v>
                </c:pt>
                <c:pt idx="16">
                  <c:v>4.9419998784080601</c:v>
                </c:pt>
                <c:pt idx="17">
                  <c:v>4.4043770057820968</c:v>
                </c:pt>
                <c:pt idx="18">
                  <c:v>2.0008865163954339</c:v>
                </c:pt>
                <c:pt idx="19">
                  <c:v>3.107757136507713</c:v>
                </c:pt>
                <c:pt idx="20">
                  <c:v>2.3803850147196446</c:v>
                </c:pt>
                <c:pt idx="21">
                  <c:v>3.4872556348319228</c:v>
                </c:pt>
                <c:pt idx="22">
                  <c:v>3.2342566359491163</c:v>
                </c:pt>
                <c:pt idx="23">
                  <c:v>4.4676267555027982</c:v>
                </c:pt>
                <c:pt idx="24">
                  <c:v>3.0445073867870116</c:v>
                </c:pt>
                <c:pt idx="25">
                  <c:v>3.0128825119266605</c:v>
                </c:pt>
                <c:pt idx="26">
                  <c:v>2.5385093890213977</c:v>
                </c:pt>
                <c:pt idx="27">
                  <c:v>1.7162626426522773</c:v>
                </c:pt>
              </c:numCache>
            </c:numRef>
          </c:val>
        </c:ser>
        <c:ser>
          <c:idx val="3"/>
          <c:order val="1"/>
          <c:tx>
            <c:strRef>
              <c:f>Souhrnny_graf_input!$C$2</c:f>
              <c:strCache>
                <c:ptCount val="1"/>
                <c:pt idx="0">
                  <c:v>Žádosti o patent na 1000 obyvatel</c:v>
                </c:pt>
              </c:strCache>
            </c:strRef>
          </c:tx>
          <c:spPr>
            <a:solidFill>
              <a:srgbClr val="339966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Souhrnny_graf_input!$C$3:$C$30</c:f>
              <c:numCache>
                <c:formatCode>0.0</c:formatCode>
                <c:ptCount val="28"/>
                <c:pt idx="0">
                  <c:v>8.7652333225801708</c:v>
                </c:pt>
                <c:pt idx="1">
                  <c:v>9.1750778291443638</c:v>
                </c:pt>
                <c:pt idx="2">
                  <c:v>9.244876186425687</c:v>
                </c:pt>
                <c:pt idx="3">
                  <c:v>8.3210513487771927</c:v>
                </c:pt>
                <c:pt idx="4">
                  <c:v>5.3124258614074797</c:v>
                </c:pt>
                <c:pt idx="5">
                  <c:v>5.6969195268987711</c:v>
                </c:pt>
                <c:pt idx="6">
                  <c:v>7.2621399413725136</c:v>
                </c:pt>
                <c:pt idx="7">
                  <c:v>6.0187237747065341</c:v>
                </c:pt>
                <c:pt idx="8">
                  <c:v>9.0471784932453065</c:v>
                </c:pt>
                <c:pt idx="9">
                  <c:v>11.111111111111111</c:v>
                </c:pt>
                <c:pt idx="10">
                  <c:v>5.9342402650260437</c:v>
                </c:pt>
                <c:pt idx="11">
                  <c:v>3.8170330437875779</c:v>
                </c:pt>
                <c:pt idx="12">
                  <c:v>4.9238620459574536</c:v>
                </c:pt>
                <c:pt idx="13">
                  <c:v>3.9514073843211057</c:v>
                </c:pt>
                <c:pt idx="14">
                  <c:v>3.6134977992552177</c:v>
                </c:pt>
                <c:pt idx="15">
                  <c:v>3.8087678955775095</c:v>
                </c:pt>
                <c:pt idx="16">
                  <c:v>3.693190341034065</c:v>
                </c:pt>
                <c:pt idx="17">
                  <c:v>3.8894775463511815</c:v>
                </c:pt>
                <c:pt idx="18">
                  <c:v>4.321104447850149</c:v>
                </c:pt>
                <c:pt idx="19">
                  <c:v>3.4841088978589161</c:v>
                </c:pt>
                <c:pt idx="20">
                  <c:v>3.8932724903175409</c:v>
                </c:pt>
                <c:pt idx="21">
                  <c:v>3.4838982445716908</c:v>
                </c:pt>
                <c:pt idx="22">
                  <c:v>3.6957345030323929</c:v>
                </c:pt>
                <c:pt idx="23">
                  <c:v>4.5129624116722358</c:v>
                </c:pt>
                <c:pt idx="24">
                  <c:v>3.5401143868699623</c:v>
                </c:pt>
                <c:pt idx="25">
                  <c:v>3.5453866265721063</c:v>
                </c:pt>
                <c:pt idx="26">
                  <c:v>3.4703780912265025</c:v>
                </c:pt>
                <c:pt idx="27">
                  <c:v>3.453690233361304</c:v>
                </c:pt>
              </c:numCache>
            </c:numRef>
          </c:val>
        </c:ser>
        <c:ser>
          <c:idx val="4"/>
          <c:order val="2"/>
          <c:tx>
            <c:strRef>
              <c:f>Souhrnny_graf_input!$D$2</c:f>
              <c:strCache>
                <c:ptCount val="1"/>
                <c:pt idx="0">
                  <c:v>Absolventi technických univerzit na 1000 obyvatel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Souhrnny_graf_input!$D$3:$D$30</c:f>
              <c:numCache>
                <c:formatCode>0.0</c:formatCode>
                <c:ptCount val="28"/>
                <c:pt idx="0">
                  <c:v>7.6667474139262533</c:v>
                </c:pt>
                <c:pt idx="1">
                  <c:v>8.6817326507637329</c:v>
                </c:pt>
                <c:pt idx="2">
                  <c:v>4.5620866894822036</c:v>
                </c:pt>
                <c:pt idx="3">
                  <c:v>1.4574259650381525</c:v>
                </c:pt>
                <c:pt idx="4">
                  <c:v>9.517602845806362</c:v>
                </c:pt>
                <c:pt idx="5">
                  <c:v>8.6817326507637329</c:v>
                </c:pt>
                <c:pt idx="6">
                  <c:v>8.8011426786269666</c:v>
                </c:pt>
                <c:pt idx="7">
                  <c:v>9.2190777761482803</c:v>
                </c:pt>
                <c:pt idx="8">
                  <c:v>6.0547120377726129</c:v>
                </c:pt>
                <c:pt idx="9">
                  <c:v>0</c:v>
                </c:pt>
                <c:pt idx="10">
                  <c:v>3.5471014526447253</c:v>
                </c:pt>
                <c:pt idx="11">
                  <c:v>4.2635616198241211</c:v>
                </c:pt>
                <c:pt idx="12">
                  <c:v>4.7412017312770525</c:v>
                </c:pt>
                <c:pt idx="13">
                  <c:v>7.1891073024733254</c:v>
                </c:pt>
                <c:pt idx="14">
                  <c:v>8.3235025671740352</c:v>
                </c:pt>
                <c:pt idx="15">
                  <c:v>5.8755969959777623</c:v>
                </c:pt>
                <c:pt idx="16">
                  <c:v>1.9350660764910836</c:v>
                </c:pt>
                <c:pt idx="17">
                  <c:v>7.1294022885417077</c:v>
                </c:pt>
                <c:pt idx="18">
                  <c:v>0.68126078392713885</c:v>
                </c:pt>
                <c:pt idx="19">
                  <c:v>6.2935320934990786</c:v>
                </c:pt>
                <c:pt idx="20">
                  <c:v>3.6665114805079577</c:v>
                </c:pt>
                <c:pt idx="21">
                  <c:v>8.5026176089688832</c:v>
                </c:pt>
                <c:pt idx="22">
                  <c:v>6.9448790046674409</c:v>
                </c:pt>
                <c:pt idx="23">
                  <c:v>3.8456265223028065</c:v>
                </c:pt>
                <c:pt idx="24">
                  <c:v>5.0397268009351341</c:v>
                </c:pt>
                <c:pt idx="25">
                  <c:v>4.9800217870035182</c:v>
                </c:pt>
                <c:pt idx="26">
                  <c:v>4.2038566058925051</c:v>
                </c:pt>
                <c:pt idx="27">
                  <c:v>5.8158919820461481</c:v>
                </c:pt>
              </c:numCache>
            </c:numRef>
          </c:val>
        </c:ser>
        <c:ser>
          <c:idx val="5"/>
          <c:order val="3"/>
          <c:tx>
            <c:strRef>
              <c:f>Souhrnny_graf_input!$E$2</c:f>
              <c:strCache>
                <c:ptCount val="1"/>
                <c:pt idx="0">
                  <c:v>Ocitované publikace na 1000 obyvatel</c:v>
                </c:pt>
              </c:strCache>
            </c:strRef>
          </c:tx>
          <c:spPr>
            <a:solidFill>
              <a:srgbClr val="FF8080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Souhrnny_graf_input!$E$3:$E$30</c:f>
              <c:numCache>
                <c:formatCode>0.0</c:formatCode>
                <c:ptCount val="28"/>
                <c:pt idx="0">
                  <c:v>11.111111111111111</c:v>
                </c:pt>
                <c:pt idx="1">
                  <c:v>9.5405268765323026</c:v>
                </c:pt>
                <c:pt idx="2">
                  <c:v>10.564104907650425</c:v>
                </c:pt>
                <c:pt idx="3">
                  <c:v>8.8432645142582604</c:v>
                </c:pt>
                <c:pt idx="4">
                  <c:v>7.0536452421545714</c:v>
                </c:pt>
                <c:pt idx="5">
                  <c:v>7.0815183709006924</c:v>
                </c:pt>
                <c:pt idx="6">
                  <c:v>7.217348272530665</c:v>
                </c:pt>
                <c:pt idx="7">
                  <c:v>4.5435020762114595</c:v>
                </c:pt>
                <c:pt idx="8">
                  <c:v>5.3144785752043635</c:v>
                </c:pt>
                <c:pt idx="9">
                  <c:v>9.2605240207372166</c:v>
                </c:pt>
                <c:pt idx="10">
                  <c:v>7.5457830541987994</c:v>
                </c:pt>
                <c:pt idx="11">
                  <c:v>5.8951802414377958</c:v>
                </c:pt>
                <c:pt idx="12">
                  <c:v>3.1069987285548337</c:v>
                </c:pt>
                <c:pt idx="13">
                  <c:v>7.835711684807289</c:v>
                </c:pt>
                <c:pt idx="14">
                  <c:v>5.5847781944850841</c:v>
                </c:pt>
                <c:pt idx="15">
                  <c:v>5.7479174894557481</c:v>
                </c:pt>
                <c:pt idx="16">
                  <c:v>2.5335160490929174</c:v>
                </c:pt>
                <c:pt idx="17">
                  <c:v>4.8118522576083684</c:v>
                </c:pt>
                <c:pt idx="18">
                  <c:v>5.5093141674127644</c:v>
                </c:pt>
                <c:pt idx="19">
                  <c:v>3.6089862566776501</c:v>
                </c:pt>
                <c:pt idx="20">
                  <c:v>1.8111921179229244</c:v>
                </c:pt>
                <c:pt idx="21">
                  <c:v>2.7178787393049237</c:v>
                </c:pt>
                <c:pt idx="22">
                  <c:v>2.5955165773280031</c:v>
                </c:pt>
                <c:pt idx="23">
                  <c:v>4.258930003681205</c:v>
                </c:pt>
                <c:pt idx="24">
                  <c:v>3.7068763325422163</c:v>
                </c:pt>
                <c:pt idx="25">
                  <c:v>4.259717766172237</c:v>
                </c:pt>
                <c:pt idx="26">
                  <c:v>1.1054079428791548</c:v>
                </c:pt>
                <c:pt idx="27">
                  <c:v>1.5991809818931384</c:v>
                </c:pt>
              </c:numCache>
            </c:numRef>
          </c:val>
        </c:ser>
        <c:ser>
          <c:idx val="6"/>
          <c:order val="4"/>
          <c:tx>
            <c:strRef>
              <c:f>Souhrnny_graf_input!$F$2</c:f>
              <c:strCache>
                <c:ptCount val="1"/>
                <c:pt idx="0">
                  <c:v>Venture kapitálové investice do start-upů k HDP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Souhrnny_graf_input!$F$3:$F$30</c:f>
              <c:numCache>
                <c:formatCode>0.0</c:formatCode>
                <c:ptCount val="28"/>
                <c:pt idx="0">
                  <c:v>7.8690536885466322</c:v>
                </c:pt>
                <c:pt idx="1">
                  <c:v>11.111111111111111</c:v>
                </c:pt>
                <c:pt idx="2">
                  <c:v>10.151609765765421</c:v>
                </c:pt>
                <c:pt idx="3">
                  <c:v>7.1567656570685818</c:v>
                </c:pt>
                <c:pt idx="4">
                  <c:v>6.9432003992282763</c:v>
                </c:pt>
                <c:pt idx="5">
                  <c:v>8.69995861260022</c:v>
                </c:pt>
                <c:pt idx="6">
                  <c:v>5.1789979849343748</c:v>
                </c:pt>
                <c:pt idx="7">
                  <c:v>5.943243166899923</c:v>
                </c:pt>
                <c:pt idx="8">
                  <c:v>6.023624675716432</c:v>
                </c:pt>
                <c:pt idx="9">
                  <c:v>4.0151646733523867</c:v>
                </c:pt>
                <c:pt idx="10">
                  <c:v>6.3072435116177195</c:v>
                </c:pt>
                <c:pt idx="11">
                  <c:v>6.6883735774226825</c:v>
                </c:pt>
                <c:pt idx="12">
                  <c:v>5.7462699022571364</c:v>
                </c:pt>
                <c:pt idx="13">
                  <c:v>2.943525899391334</c:v>
                </c:pt>
                <c:pt idx="14">
                  <c:v>9.0670464970869293</c:v>
                </c:pt>
                <c:pt idx="15">
                  <c:v>2.8532159956681458</c:v>
                </c:pt>
                <c:pt idx="16">
                  <c:v>8.2157125700176561</c:v>
                </c:pt>
                <c:pt idx="17">
                  <c:v>3.5811935256425951</c:v>
                </c:pt>
                <c:pt idx="18">
                  <c:v>4.4697023905848816</c:v>
                </c:pt>
                <c:pt idx="19">
                  <c:v>2.5530518768559936</c:v>
                </c:pt>
                <c:pt idx="20">
                  <c:v>4.4914975793618339</c:v>
                </c:pt>
                <c:pt idx="21">
                  <c:v>2.7187798044486673</c:v>
                </c:pt>
                <c:pt idx="22">
                  <c:v>3.0821618721588901</c:v>
                </c:pt>
                <c:pt idx="23">
                  <c:v>2.7734110912726533</c:v>
                </c:pt>
                <c:pt idx="24">
                  <c:v>3.4927755785417327</c:v>
                </c:pt>
                <c:pt idx="25">
                  <c:v>2.3982133640291452</c:v>
                </c:pt>
                <c:pt idx="26">
                  <c:v>3.5448070081608556</c:v>
                </c:pt>
                <c:pt idx="27">
                  <c:v>2.6800902642868607</c:v>
                </c:pt>
              </c:numCache>
            </c:numRef>
          </c:val>
        </c:ser>
        <c:ser>
          <c:idx val="0"/>
          <c:order val="5"/>
          <c:tx>
            <c:strRef>
              <c:f>Souhrnny_graf_input!$G$2</c:f>
              <c:strCache>
                <c:ptCount val="1"/>
                <c:pt idx="0">
                  <c:v>Podíl domácností s širokopásmovým internetem</c:v>
                </c:pt>
              </c:strCache>
            </c:strRef>
          </c:tx>
          <c:spPr>
            <a:solidFill>
              <a:srgbClr val="CC99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Souhrnny_graf_input!$G$3:$G$30</c:f>
              <c:numCache>
                <c:formatCode>0.0</c:formatCode>
                <c:ptCount val="28"/>
                <c:pt idx="0">
                  <c:v>8.0319736410442939</c:v>
                </c:pt>
                <c:pt idx="1">
                  <c:v>9.1640504801248586</c:v>
                </c:pt>
                <c:pt idx="2">
                  <c:v>8.5980120605845762</c:v>
                </c:pt>
                <c:pt idx="3">
                  <c:v>10.862165738745709</c:v>
                </c:pt>
                <c:pt idx="4">
                  <c:v>8.8810312703547183</c:v>
                </c:pt>
                <c:pt idx="5">
                  <c:v>6.6168775921935854</c:v>
                </c:pt>
                <c:pt idx="6">
                  <c:v>6.3338583824234451</c:v>
                </c:pt>
                <c:pt idx="7">
                  <c:v>5.7678199628831619</c:v>
                </c:pt>
                <c:pt idx="8">
                  <c:v>8.5980120605845762</c:v>
                </c:pt>
                <c:pt idx="9">
                  <c:v>10.296127319205425</c:v>
                </c:pt>
                <c:pt idx="10">
                  <c:v>6.8998968019637275</c:v>
                </c:pt>
                <c:pt idx="11">
                  <c:v>6.8998968019637275</c:v>
                </c:pt>
                <c:pt idx="12">
                  <c:v>6.6168775921935854</c:v>
                </c:pt>
                <c:pt idx="13">
                  <c:v>5.2017815433428787</c:v>
                </c:pt>
                <c:pt idx="14">
                  <c:v>1.8055510261011816</c:v>
                </c:pt>
                <c:pt idx="15">
                  <c:v>5.4848007531130198</c:v>
                </c:pt>
                <c:pt idx="16">
                  <c:v>4.9187623335727375</c:v>
                </c:pt>
                <c:pt idx="17">
                  <c:v>4.6357431238025955</c:v>
                </c:pt>
                <c:pt idx="18">
                  <c:v>3.5036662847220299</c:v>
                </c:pt>
                <c:pt idx="19">
                  <c:v>5.4848007531130198</c:v>
                </c:pt>
                <c:pt idx="20">
                  <c:v>4.6357431238025955</c:v>
                </c:pt>
                <c:pt idx="21">
                  <c:v>2.3715894456414643</c:v>
                </c:pt>
                <c:pt idx="22">
                  <c:v>4.0697047042623131</c:v>
                </c:pt>
                <c:pt idx="23">
                  <c:v>4.0697047042623131</c:v>
                </c:pt>
                <c:pt idx="24">
                  <c:v>3.2206470749518887</c:v>
                </c:pt>
                <c:pt idx="25">
                  <c:v>2.3715894456414643</c:v>
                </c:pt>
                <c:pt idx="26">
                  <c:v>0</c:v>
                </c:pt>
                <c:pt idx="27">
                  <c:v>0.39045497725047401</c:v>
                </c:pt>
              </c:numCache>
            </c:numRef>
          </c:val>
        </c:ser>
        <c:ser>
          <c:idx val="1"/>
          <c:order val="6"/>
          <c:tx>
            <c:strRef>
              <c:f>Souhrnny_graf_input!$H$2</c:f>
              <c:strCache>
                <c:ptCount val="1"/>
                <c:pt idx="0">
                  <c:v>Výdaje na vzdělávání k HDP</c:v>
                </c:pt>
              </c:strCache>
            </c:strRef>
          </c:tx>
          <c:spPr>
            <a:solidFill>
              <a:srgbClr val="FFCC00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Souhrnny_graf_input!$H$3:$H$30</c:f>
              <c:numCache>
                <c:formatCode>0.0</c:formatCode>
                <c:ptCount val="28"/>
                <c:pt idx="0">
                  <c:v>10.472020166416119</c:v>
                </c:pt>
                <c:pt idx="1">
                  <c:v>7.3733142008026578</c:v>
                </c:pt>
                <c:pt idx="2">
                  <c:v>6.5441584028213704</c:v>
                </c:pt>
                <c:pt idx="3">
                  <c:v>7.1209487039822204</c:v>
                </c:pt>
                <c:pt idx="4">
                  <c:v>9.2707649984837008</c:v>
                </c:pt>
                <c:pt idx="5">
                  <c:v>7.5542187179200182</c:v>
                </c:pt>
                <c:pt idx="6">
                  <c:v>5.693029980012259</c:v>
                </c:pt>
                <c:pt idx="7">
                  <c:v>6.6617781082728404</c:v>
                </c:pt>
                <c:pt idx="8">
                  <c:v>4.5025104101167965</c:v>
                </c:pt>
                <c:pt idx="9">
                  <c:v>2.0421570706923955</c:v>
                </c:pt>
                <c:pt idx="10">
                  <c:v>8.198458599096055</c:v>
                </c:pt>
                <c:pt idx="11">
                  <c:v>4.9945511076059459</c:v>
                </c:pt>
                <c:pt idx="12">
                  <c:v>8.2533739437782234</c:v>
                </c:pt>
                <c:pt idx="13">
                  <c:v>5.6625154396979269</c:v>
                </c:pt>
                <c:pt idx="14">
                  <c:v>8.326899659986994</c:v>
                </c:pt>
                <c:pt idx="15">
                  <c:v>3.8521074441765748</c:v>
                </c:pt>
                <c:pt idx="16">
                  <c:v>3.2764357784373668</c:v>
                </c:pt>
                <c:pt idx="17">
                  <c:v>4.4878754825449345</c:v>
                </c:pt>
                <c:pt idx="18">
                  <c:v>11.111111111111111</c:v>
                </c:pt>
                <c:pt idx="19">
                  <c:v>2.7688989983770216</c:v>
                </c:pt>
                <c:pt idx="20">
                  <c:v>4.6556458064464987</c:v>
                </c:pt>
                <c:pt idx="21">
                  <c:v>4.6374233371084408</c:v>
                </c:pt>
                <c:pt idx="22">
                  <c:v>5.7193718427414426</c:v>
                </c:pt>
                <c:pt idx="23">
                  <c:v>3.1180489663334683</c:v>
                </c:pt>
                <c:pt idx="24">
                  <c:v>3.2053364583225825</c:v>
                </c:pt>
                <c:pt idx="25">
                  <c:v>3.4334771918976621</c:v>
                </c:pt>
                <c:pt idx="26">
                  <c:v>1.1087908516702158</c:v>
                </c:pt>
                <c:pt idx="27">
                  <c:v>0</c:v>
                </c:pt>
              </c:numCache>
            </c:numRef>
          </c:val>
        </c:ser>
        <c:ser>
          <c:idx val="7"/>
          <c:order val="7"/>
          <c:tx>
            <c:strRef>
              <c:f>Souhrnny_graf_input!$I$2</c:f>
              <c:strCache>
                <c:ptCount val="1"/>
                <c:pt idx="0">
                  <c:v>Podíl exportů high-tech výrobků</c:v>
                </c:pt>
              </c:strCache>
            </c:strRef>
          </c:tx>
          <c:spPr>
            <a:solidFill>
              <a:srgbClr val="33CCCC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Souhrnny_graf_input!$I$3:$I$30</c:f>
              <c:numCache>
                <c:formatCode>0.0</c:formatCode>
                <c:ptCount val="28"/>
                <c:pt idx="0">
                  <c:v>4.8812935085377847</c:v>
                </c:pt>
                <c:pt idx="1">
                  <c:v>3.3872452316926553</c:v>
                </c:pt>
                <c:pt idx="2">
                  <c:v>6.2395192147606302</c:v>
                </c:pt>
                <c:pt idx="3">
                  <c:v>8.4579545349246121</c:v>
                </c:pt>
                <c:pt idx="4">
                  <c:v>7.4619223503611902</c:v>
                </c:pt>
                <c:pt idx="5">
                  <c:v>9.1370673880360336</c:v>
                </c:pt>
                <c:pt idx="6">
                  <c:v>6.9186320678720534</c:v>
                </c:pt>
                <c:pt idx="7">
                  <c:v>9.7256318607325998</c:v>
                </c:pt>
                <c:pt idx="8">
                  <c:v>6.8280836874571964</c:v>
                </c:pt>
                <c:pt idx="9">
                  <c:v>9.3634383390731752</c:v>
                </c:pt>
                <c:pt idx="10">
                  <c:v>4.7907451281229285</c:v>
                </c:pt>
                <c:pt idx="11">
                  <c:v>7.7788416818131889</c:v>
                </c:pt>
                <c:pt idx="12">
                  <c:v>11.111111111111111</c:v>
                </c:pt>
                <c:pt idx="13">
                  <c:v>2.7986807589960891</c:v>
                </c:pt>
                <c:pt idx="14">
                  <c:v>2.0290195254698102</c:v>
                </c:pt>
                <c:pt idx="15">
                  <c:v>7.3260997797389074</c:v>
                </c:pt>
                <c:pt idx="16">
                  <c:v>6.9186320678720534</c:v>
                </c:pt>
                <c:pt idx="17">
                  <c:v>2.7081323785812326</c:v>
                </c:pt>
                <c:pt idx="18">
                  <c:v>4.428551606463504</c:v>
                </c:pt>
                <c:pt idx="19">
                  <c:v>4.7907451281229285</c:v>
                </c:pt>
                <c:pt idx="20">
                  <c:v>4.5643741770857877</c:v>
                </c:pt>
                <c:pt idx="21">
                  <c:v>3.2966968512777992</c:v>
                </c:pt>
                <c:pt idx="22">
                  <c:v>3.885261323974365</c:v>
                </c:pt>
                <c:pt idx="23">
                  <c:v>3.4325194219000839</c:v>
                </c:pt>
                <c:pt idx="24">
                  <c:v>3.3872452316926553</c:v>
                </c:pt>
                <c:pt idx="25">
                  <c:v>2.0742937156772383</c:v>
                </c:pt>
                <c:pt idx="26">
                  <c:v>2.1648420960920949</c:v>
                </c:pt>
                <c:pt idx="27">
                  <c:v>3.2966968512777992</c:v>
                </c:pt>
              </c:numCache>
            </c:numRef>
          </c:val>
        </c:ser>
        <c:ser>
          <c:idx val="8"/>
          <c:order val="8"/>
          <c:tx>
            <c:strRef>
              <c:f>Souhrnny_graf_input!$J$2</c:f>
              <c:strCache>
                <c:ptCount val="1"/>
                <c:pt idx="0">
                  <c:v>Podíl osob využívajících e-government</c:v>
                </c:pt>
              </c:strCache>
            </c:strRef>
          </c:tx>
          <c:spPr>
            <a:solidFill>
              <a:srgbClr val="666699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Souhrnny_graf_input!$J$3:$J$30</c:f>
              <c:numCache>
                <c:formatCode>0.0</c:formatCode>
                <c:ptCount val="28"/>
                <c:pt idx="0">
                  <c:v>10.909596403938467</c:v>
                </c:pt>
                <c:pt idx="1">
                  <c:v>10.285608292576462</c:v>
                </c:pt>
                <c:pt idx="2">
                  <c:v>10.441605320416963</c:v>
                </c:pt>
                <c:pt idx="3">
                  <c:v>9.505623153373957</c:v>
                </c:pt>
                <c:pt idx="4">
                  <c:v>5.7616944852019323</c:v>
                </c:pt>
                <c:pt idx="5">
                  <c:v>5.7616944852019323</c:v>
                </c:pt>
                <c:pt idx="6">
                  <c:v>7.0096707079259399</c:v>
                </c:pt>
                <c:pt idx="7">
                  <c:v>7.7896558471284454</c:v>
                </c:pt>
                <c:pt idx="8">
                  <c:v>6.0736885408829338</c:v>
                </c:pt>
                <c:pt idx="9">
                  <c:v>8.2576469306499494</c:v>
                </c:pt>
                <c:pt idx="10">
                  <c:v>6.3856825965639352</c:v>
                </c:pt>
                <c:pt idx="11">
                  <c:v>5.7616944852019323</c:v>
                </c:pt>
                <c:pt idx="12">
                  <c:v>4.0457271789564198</c:v>
                </c:pt>
                <c:pt idx="13">
                  <c:v>6.0736885408829338</c:v>
                </c:pt>
                <c:pt idx="14">
                  <c:v>4.2017242067969214</c:v>
                </c:pt>
                <c:pt idx="15">
                  <c:v>3.5777360954349167</c:v>
                </c:pt>
                <c:pt idx="16">
                  <c:v>5.449700429520929</c:v>
                </c:pt>
                <c:pt idx="17">
                  <c:v>5.449700429520929</c:v>
                </c:pt>
                <c:pt idx="18">
                  <c:v>4.2017242067969214</c:v>
                </c:pt>
                <c:pt idx="19">
                  <c:v>6.6976766522449385</c:v>
                </c:pt>
                <c:pt idx="20">
                  <c:v>6.2296855687234354</c:v>
                </c:pt>
                <c:pt idx="21">
                  <c:v>4.2017242067969214</c:v>
                </c:pt>
                <c:pt idx="22">
                  <c:v>2.0177658170299058</c:v>
                </c:pt>
                <c:pt idx="23">
                  <c:v>1.3937777056679019</c:v>
                </c:pt>
                <c:pt idx="24">
                  <c:v>2.7977509562324112</c:v>
                </c:pt>
                <c:pt idx="25">
                  <c:v>4.8257123181589252</c:v>
                </c:pt>
                <c:pt idx="26">
                  <c:v>1.0817836499868991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5131008"/>
        <c:axId val="105140992"/>
      </c:barChart>
      <c:catAx>
        <c:axId val="10513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s-CZ"/>
          </a:p>
        </c:txPr>
        <c:crossAx val="105140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514099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s-CZ"/>
          </a:p>
        </c:txPr>
        <c:crossAx val="105131008"/>
        <c:crosses val="autoZero"/>
        <c:crossBetween val="between"/>
        <c:majorUnit val="1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9659011830201809"/>
          <c:y val="9.7010716300056407E-2"/>
          <c:w val="0.72818426402336467"/>
          <c:h val="0.1692757948403657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s-CZ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s-CZ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2400" b="1"/>
            </a:pPr>
            <a:r>
              <a:rPr lang="en-US" sz="2400" b="1"/>
              <a:t>Výdaje na R&amp;D (2015)</a:t>
            </a:r>
          </a:p>
        </c:rich>
      </c:tx>
      <c:layout>
        <c:manualLayout>
          <c:xMode val="edge"/>
          <c:yMode val="edge"/>
          <c:x val="0.29741853548223224"/>
          <c:y val="1.156517051530174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2708288812541441E-2"/>
          <c:y val="0.14868646495330215"/>
          <c:w val="0.95"/>
          <c:h val="0.62892042048043484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SubIndexy_data!$B$2</c:f>
              <c:strCache>
                <c:ptCount val="1"/>
                <c:pt idx="0">
                  <c:v>Výdaje na RaD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F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1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2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3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4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5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6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7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cat>
            <c:strRef>
              <c:f>SubIndexy_data!$B$3:$B$30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Německo</c:v>
                </c:pt>
                <c:pt idx="4">
                  <c:v>Rakousko</c:v>
                </c:pt>
                <c:pt idx="5">
                  <c:v>Slovinsko</c:v>
                </c:pt>
                <c:pt idx="6">
                  <c:v>Belgie</c:v>
                </c:pt>
                <c:pt idx="7">
                  <c:v>Francie</c:v>
                </c:pt>
                <c:pt idx="8">
                  <c:v>Nizozemsko</c:v>
                </c:pt>
                <c:pt idx="9">
                  <c:v>Česká republika</c:v>
                </c:pt>
                <c:pt idx="10">
                  <c:v>Estonsko</c:v>
                </c:pt>
                <c:pt idx="11">
                  <c:v>Spojené království</c:v>
                </c:pt>
                <c:pt idx="12">
                  <c:v>Irsko</c:v>
                </c:pt>
                <c:pt idx="13">
                  <c:v>Maďarsko</c:v>
                </c:pt>
                <c:pt idx="14">
                  <c:v>Portugalsko</c:v>
                </c:pt>
                <c:pt idx="15">
                  <c:v>Itálie</c:v>
                </c:pt>
                <c:pt idx="16">
                  <c:v>Španělsko</c:v>
                </c:pt>
                <c:pt idx="17">
                  <c:v>Lucembursko</c:v>
                </c:pt>
                <c:pt idx="18">
                  <c:v>Litva</c:v>
                </c:pt>
                <c:pt idx="19">
                  <c:v>Polsko</c:v>
                </c:pt>
                <c:pt idx="20">
                  <c:v>Malta</c:v>
                </c:pt>
                <c:pt idx="21">
                  <c:v>Slovensko</c:v>
                </c:pt>
                <c:pt idx="22">
                  <c:v>Chorvatsko</c:v>
                </c:pt>
                <c:pt idx="23">
                  <c:v>Řecko</c:v>
                </c:pt>
                <c:pt idx="24">
                  <c:v>Bulharsko</c:v>
                </c:pt>
                <c:pt idx="25">
                  <c:v>Lotyšsko</c:v>
                </c:pt>
                <c:pt idx="26">
                  <c:v>Kypr</c:v>
                </c:pt>
                <c:pt idx="27">
                  <c:v>Rumunsko</c:v>
                </c:pt>
              </c:strCache>
            </c:strRef>
          </c:cat>
          <c:val>
            <c:numRef>
              <c:f>SubIndexy_data!$C$3:$C$30</c:f>
              <c:numCache>
                <c:formatCode>General</c:formatCode>
                <c:ptCount val="28"/>
                <c:pt idx="0">
                  <c:v>98.556534916872465</c:v>
                </c:pt>
                <c:pt idx="1">
                  <c:v>98.271911043129293</c:v>
                </c:pt>
                <c:pt idx="2">
                  <c:v>91.440938073293523</c:v>
                </c:pt>
                <c:pt idx="3">
                  <c:v>85.463836724687212</c:v>
                </c:pt>
                <c:pt idx="4">
                  <c:v>84.325341229714581</c:v>
                </c:pt>
                <c:pt idx="5">
                  <c:v>78.063616007365127</c:v>
                </c:pt>
                <c:pt idx="6">
                  <c:v>69.240275921327239</c:v>
                </c:pt>
                <c:pt idx="7">
                  <c:v>67.817156552611465</c:v>
                </c:pt>
                <c:pt idx="8">
                  <c:v>60.701559709032523</c:v>
                </c:pt>
                <c:pt idx="9">
                  <c:v>58.709192592830419</c:v>
                </c:pt>
                <c:pt idx="10">
                  <c:v>53.870586739196739</c:v>
                </c:pt>
                <c:pt idx="11">
                  <c:v>50.739724128022004</c:v>
                </c:pt>
                <c:pt idx="12">
                  <c:v>48.812624210454125</c:v>
                </c:pt>
                <c:pt idx="13">
                  <c:v>44.477998905672543</c:v>
                </c:pt>
                <c:pt idx="14">
                  <c:v>43.054879536956761</c:v>
                </c:pt>
                <c:pt idx="15">
                  <c:v>40.208640799525185</c:v>
                </c:pt>
                <c:pt idx="16">
                  <c:v>39.639393052038869</c:v>
                </c:pt>
                <c:pt idx="17">
                  <c:v>37.362402062093608</c:v>
                </c:pt>
                <c:pt idx="18">
                  <c:v>31.385300713487304</c:v>
                </c:pt>
                <c:pt idx="19">
                  <c:v>29.108309723542046</c:v>
                </c:pt>
                <c:pt idx="20">
                  <c:v>28.539061976055731</c:v>
                </c:pt>
                <c:pt idx="21">
                  <c:v>27.969814228569415</c:v>
                </c:pt>
                <c:pt idx="22">
                  <c:v>27.400566481083104</c:v>
                </c:pt>
                <c:pt idx="23">
                  <c:v>27.115942607339942</c:v>
                </c:pt>
                <c:pt idx="24">
                  <c:v>22.846584501192581</c:v>
                </c:pt>
                <c:pt idx="25">
                  <c:v>21.4234651324768</c:v>
                </c:pt>
                <c:pt idx="26">
                  <c:v>18.007978647558904</c:v>
                </c:pt>
                <c:pt idx="27">
                  <c:v>15.446363783870495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9432704"/>
        <c:axId val="99434496"/>
      </c:barChart>
      <c:catAx>
        <c:axId val="9943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s-CZ"/>
          </a:p>
        </c:txPr>
        <c:crossAx val="99434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943449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s-CZ"/>
          </a:p>
        </c:txPr>
        <c:crossAx val="99432704"/>
        <c:crosses val="autoZero"/>
        <c:crossBetween val="between"/>
        <c:majorUnit val="2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s-CZ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2800"/>
            </a:pPr>
            <a:r>
              <a:rPr lang="en-US" sz="2800"/>
              <a:t>Česká republika (2015)</a:t>
            </a:r>
          </a:p>
        </c:rich>
      </c:tx>
      <c:layout>
        <c:manualLayout>
          <c:xMode val="edge"/>
          <c:yMode val="edge"/>
          <c:x val="0.30822419929017314"/>
          <c:y val="2.494203995299019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227683397737321E-2"/>
          <c:y val="0.14464842251069285"/>
          <c:w val="0.94271484698766272"/>
          <c:h val="0.73155406462378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Country_data!$A$1</c:f>
              <c:strCache>
                <c:ptCount val="1"/>
                <c:pt idx="0">
                  <c:v>Česká republika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Country_data!$A$3:$A$12</c:f>
              <c:strCache>
                <c:ptCount val="10"/>
                <c:pt idx="0">
                  <c:v>High-tech export</c:v>
                </c:pt>
                <c:pt idx="1">
                  <c:v>Výdaje na R&amp;D</c:v>
                </c:pt>
                <c:pt idx="2">
                  <c:v>Počet absolventů</c:v>
                </c:pt>
                <c:pt idx="3">
                  <c:v>Počet publikací</c:v>
                </c:pt>
                <c:pt idx="4">
                  <c:v>Připojení k internetu</c:v>
                </c:pt>
                <c:pt idx="5">
                  <c:v>EIB</c:v>
                </c:pt>
                <c:pt idx="6">
                  <c:v>Výdaje na vzdělávání</c:v>
                </c:pt>
                <c:pt idx="7">
                  <c:v>Počet patentů</c:v>
                </c:pt>
                <c:pt idx="8">
                  <c:v>eGovernment</c:v>
                </c:pt>
                <c:pt idx="9">
                  <c:v>Venture kapitál</c:v>
                </c:pt>
              </c:strCache>
            </c:strRef>
          </c:cat>
          <c:val>
            <c:numRef>
              <c:f>Country_data!$B$3:$B$12</c:f>
              <c:numCache>
                <c:formatCode>0</c:formatCode>
                <c:ptCount val="10"/>
                <c:pt idx="0">
                  <c:v>65.93489801765017</c:v>
                </c:pt>
                <c:pt idx="1">
                  <c:v>58.709192592830419</c:v>
                </c:pt>
                <c:pt idx="2">
                  <c:v>52.880372963799864</c:v>
                </c:pt>
                <c:pt idx="3">
                  <c:v>51.731257405101736</c:v>
                </c:pt>
                <c:pt idx="4">
                  <c:v>49.363206778017179</c:v>
                </c:pt>
                <c:pt idx="5">
                  <c:v>45.049486070568186</c:v>
                </c:pt>
                <c:pt idx="6">
                  <c:v>34.668966997589173</c:v>
                </c:pt>
                <c:pt idx="7">
                  <c:v>34.278911060197586</c:v>
                </c:pt>
                <c:pt idx="8">
                  <c:v>32.199624858914248</c:v>
                </c:pt>
                <c:pt idx="9">
                  <c:v>25.678943961013314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2"/>
        <c:axId val="105075456"/>
        <c:axId val="105086336"/>
      </c:barChart>
      <c:catAx>
        <c:axId val="1050754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cs-CZ"/>
          </a:p>
        </c:txPr>
        <c:crossAx val="105086336"/>
        <c:crosses val="autoZero"/>
        <c:auto val="1"/>
        <c:lblAlgn val="ctr"/>
        <c:lblOffset val="100"/>
        <c:noMultiLvlLbl val="0"/>
      </c:catAx>
      <c:valAx>
        <c:axId val="105086336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cs-CZ"/>
          </a:p>
        </c:txPr>
        <c:crossAx val="105075456"/>
        <c:crosses val="autoZero"/>
        <c:crossBetween val="between"/>
        <c:majorUnit val="20"/>
      </c:valAx>
    </c:plotArea>
    <c:plotVisOnly val="1"/>
    <c:dispBlanksAs val="gap"/>
    <c:showDLblsOverMax val="0"/>
  </c:chart>
  <c:spPr>
    <a:solidFill>
      <a:schemeClr val="bg1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2800"/>
            </a:pPr>
            <a:r>
              <a:rPr lang="en-US" sz="2800"/>
              <a:t>Česká republika</a:t>
            </a:r>
          </a:p>
        </c:rich>
      </c:tx>
      <c:layout>
        <c:manualLayout>
          <c:xMode val="edge"/>
          <c:yMode val="edge"/>
          <c:x val="0.36839636583888552"/>
          <c:y val="2.49403187787442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227683397737321E-2"/>
          <c:y val="0.12342318911959162"/>
          <c:w val="0.94271484698766272"/>
          <c:h val="0.752779380298909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Country_dynamics_data!$B$2</c:f>
              <c:strCache>
                <c:ptCount val="1"/>
                <c:pt idx="0">
                  <c:v>Výdaje na R&amp;D k HDP</c:v>
                </c:pt>
              </c:strCache>
            </c:strRef>
          </c:tx>
          <c:invertIfNegative val="0"/>
          <c:cat>
            <c:numRef>
              <c:f>Country_dynamics_data!$C$1:$H$1</c:f>
              <c:numCache>
                <c:formatCode>General</c:formatCode>
                <c:ptCount val="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</c:numCache>
            </c:numRef>
          </c:cat>
          <c:val>
            <c:numRef>
              <c:f>Country_dynamics_data!$C$2:$H$2</c:f>
              <c:numCache>
                <c:formatCode>0</c:formatCode>
                <c:ptCount val="6"/>
                <c:pt idx="0">
                  <c:v>4.9215335498884789</c:v>
                </c:pt>
                <c:pt idx="1">
                  <c:v>4.9332318530801853</c:v>
                </c:pt>
                <c:pt idx="2">
                  <c:v>4.9989467286729798</c:v>
                </c:pt>
                <c:pt idx="3">
                  <c:v>5.4837995247438007</c:v>
                </c:pt>
                <c:pt idx="4">
                  <c:v>6.122956778706361</c:v>
                </c:pt>
                <c:pt idx="5">
                  <c:v>6.5232436214256024</c:v>
                </c:pt>
              </c:numCache>
            </c:numRef>
          </c:val>
        </c:ser>
        <c:ser>
          <c:idx val="1"/>
          <c:order val="1"/>
          <c:tx>
            <c:strRef>
              <c:f>Country_dynamics_data!$B$3</c:f>
              <c:strCache>
                <c:ptCount val="1"/>
                <c:pt idx="0">
                  <c:v>Žádosti o patent na 1000 obyvatel</c:v>
                </c:pt>
              </c:strCache>
            </c:strRef>
          </c:tx>
          <c:invertIfNegative val="0"/>
          <c:val>
            <c:numRef>
              <c:f>Country_dynamics_data!$C$3:$H$3</c:f>
              <c:numCache>
                <c:formatCode>0</c:formatCode>
                <c:ptCount val="6"/>
                <c:pt idx="0">
                  <c:v>3.4994760729782728</c:v>
                </c:pt>
                <c:pt idx="1">
                  <c:v>3.5094069757146702</c:v>
                </c:pt>
                <c:pt idx="2">
                  <c:v>3.6727566031649639</c:v>
                </c:pt>
                <c:pt idx="3">
                  <c:v>3.6963912041549825</c:v>
                </c:pt>
                <c:pt idx="4">
                  <c:v>3.7377603115661935</c:v>
                </c:pt>
                <c:pt idx="5">
                  <c:v>3.8087678955775095</c:v>
                </c:pt>
              </c:numCache>
            </c:numRef>
          </c:val>
        </c:ser>
        <c:ser>
          <c:idx val="2"/>
          <c:order val="2"/>
          <c:tx>
            <c:strRef>
              <c:f>Country_dynamics_data!$B$4</c:f>
              <c:strCache>
                <c:ptCount val="1"/>
                <c:pt idx="0">
                  <c:v>Absolventi technických univerzit na 1000 obyvatel</c:v>
                </c:pt>
              </c:strCache>
            </c:strRef>
          </c:tx>
          <c:invertIfNegative val="0"/>
          <c:val>
            <c:numRef>
              <c:f>Country_dynamics_data!$C$4:$H$4</c:f>
              <c:numCache>
                <c:formatCode>0</c:formatCode>
                <c:ptCount val="6"/>
                <c:pt idx="0">
                  <c:v>6.9084412595223181</c:v>
                </c:pt>
                <c:pt idx="1">
                  <c:v>7.0231209921820685</c:v>
                </c:pt>
                <c:pt idx="2">
                  <c:v>7.0909285869339875</c:v>
                </c:pt>
                <c:pt idx="3">
                  <c:v>6.5613300845919342</c:v>
                </c:pt>
                <c:pt idx="4">
                  <c:v>6.1778680258381833</c:v>
                </c:pt>
                <c:pt idx="5">
                  <c:v>5.8755969959777623</c:v>
                </c:pt>
              </c:numCache>
            </c:numRef>
          </c:val>
        </c:ser>
        <c:ser>
          <c:idx val="3"/>
          <c:order val="3"/>
          <c:tx>
            <c:strRef>
              <c:f>Country_dynamics_data!$B$5</c:f>
              <c:strCache>
                <c:ptCount val="1"/>
                <c:pt idx="0">
                  <c:v>Ocitované publikace na 1000 obyvatel</c:v>
                </c:pt>
              </c:strCache>
            </c:strRef>
          </c:tx>
          <c:invertIfNegative val="0"/>
          <c:val>
            <c:numRef>
              <c:f>Country_dynamics_data!$C$5:$H$5</c:f>
              <c:numCache>
                <c:formatCode>0</c:formatCode>
                <c:ptCount val="6"/>
                <c:pt idx="0">
                  <c:v>5.0649691389062541</c:v>
                </c:pt>
                <c:pt idx="1">
                  <c:v>5.3397335352508302</c:v>
                </c:pt>
                <c:pt idx="2">
                  <c:v>5.3143517907400941</c:v>
                </c:pt>
                <c:pt idx="3">
                  <c:v>5.315126944929335</c:v>
                </c:pt>
                <c:pt idx="4">
                  <c:v>5.3143083449568778</c:v>
                </c:pt>
                <c:pt idx="5">
                  <c:v>5.7479174894557481</c:v>
                </c:pt>
              </c:numCache>
            </c:numRef>
          </c:val>
        </c:ser>
        <c:ser>
          <c:idx val="4"/>
          <c:order val="4"/>
          <c:tx>
            <c:strRef>
              <c:f>Country_dynamics_data!$B$6</c:f>
              <c:strCache>
                <c:ptCount val="1"/>
                <c:pt idx="0">
                  <c:v>Venture kapitálové investice do start-upů k HDP</c:v>
                </c:pt>
              </c:strCache>
            </c:strRef>
          </c:tx>
          <c:invertIfNegative val="0"/>
          <c:val>
            <c:numRef>
              <c:f>Country_dynamics_data!$C$6:$H$6</c:f>
              <c:numCache>
                <c:formatCode>0</c:formatCode>
                <c:ptCount val="6"/>
                <c:pt idx="0">
                  <c:v>2.6389668716128529</c:v>
                </c:pt>
                <c:pt idx="1">
                  <c:v>4.5951639608594883</c:v>
                </c:pt>
                <c:pt idx="2">
                  <c:v>2.5806324500898481</c:v>
                </c:pt>
                <c:pt idx="3">
                  <c:v>2.9413680886090834</c:v>
                </c:pt>
                <c:pt idx="4">
                  <c:v>2.9255966910357376</c:v>
                </c:pt>
                <c:pt idx="5">
                  <c:v>2.8532159956681458</c:v>
                </c:pt>
              </c:numCache>
            </c:numRef>
          </c:val>
        </c:ser>
        <c:ser>
          <c:idx val="5"/>
          <c:order val="5"/>
          <c:tx>
            <c:strRef>
              <c:f>Country_dynamics_data!$B$7</c:f>
              <c:strCache>
                <c:ptCount val="1"/>
                <c:pt idx="0">
                  <c:v>Podíl domácností s širokopásmovým internetem</c:v>
                </c:pt>
              </c:strCache>
            </c:strRef>
          </c:tx>
          <c:invertIfNegative val="0"/>
          <c:val>
            <c:numRef>
              <c:f>Country_dynamics_data!$C$7:$H$7</c:f>
              <c:numCache>
                <c:formatCode>0</c:formatCode>
                <c:ptCount val="6"/>
                <c:pt idx="0">
                  <c:v>4.5031663203470558</c:v>
                </c:pt>
                <c:pt idx="1">
                  <c:v>4.5827044807836996</c:v>
                </c:pt>
                <c:pt idx="2">
                  <c:v>5.2774026584379161</c:v>
                </c:pt>
                <c:pt idx="3">
                  <c:v>3.9156316452185913</c:v>
                </c:pt>
                <c:pt idx="4">
                  <c:v>4.572879853471826</c:v>
                </c:pt>
                <c:pt idx="5">
                  <c:v>5.4848007531130198</c:v>
                </c:pt>
              </c:numCache>
            </c:numRef>
          </c:val>
        </c:ser>
        <c:ser>
          <c:idx val="6"/>
          <c:order val="6"/>
          <c:tx>
            <c:strRef>
              <c:f>Country_dynamics_data!$B$8</c:f>
              <c:strCache>
                <c:ptCount val="1"/>
                <c:pt idx="0">
                  <c:v>Výdaje na vzdělávání k HDP</c:v>
                </c:pt>
              </c:strCache>
            </c:strRef>
          </c:tx>
          <c:invertIfNegative val="0"/>
          <c:val>
            <c:numRef>
              <c:f>Country_dynamics_data!$C$8:$H$8</c:f>
              <c:numCache>
                <c:formatCode>0</c:formatCode>
                <c:ptCount val="6"/>
                <c:pt idx="0">
                  <c:v>2.8928273064284773</c:v>
                </c:pt>
                <c:pt idx="1">
                  <c:v>2.0113904866940429</c:v>
                </c:pt>
                <c:pt idx="2">
                  <c:v>2.5707120468382811</c:v>
                </c:pt>
                <c:pt idx="3">
                  <c:v>2.9319623567380426</c:v>
                </c:pt>
                <c:pt idx="4">
                  <c:v>4.0578398563079112</c:v>
                </c:pt>
                <c:pt idx="5">
                  <c:v>3.8521074441765748</c:v>
                </c:pt>
              </c:numCache>
            </c:numRef>
          </c:val>
        </c:ser>
        <c:ser>
          <c:idx val="7"/>
          <c:order val="7"/>
          <c:tx>
            <c:strRef>
              <c:f>Country_dynamics_data!$B$9</c:f>
              <c:strCache>
                <c:ptCount val="1"/>
                <c:pt idx="0">
                  <c:v>Podíl exportů high-tech výrobků</c:v>
                </c:pt>
              </c:strCache>
            </c:strRef>
          </c:tx>
          <c:invertIfNegative val="0"/>
          <c:val>
            <c:numRef>
              <c:f>Country_dynamics_data!$C$9:$H$9</c:f>
              <c:numCache>
                <c:formatCode>0</c:formatCode>
                <c:ptCount val="6"/>
                <c:pt idx="0">
                  <c:v>6.1642065140403028</c:v>
                </c:pt>
                <c:pt idx="1">
                  <c:v>6.8952158414005282</c:v>
                </c:pt>
                <c:pt idx="2">
                  <c:v>7.4390216540345575</c:v>
                </c:pt>
                <c:pt idx="3">
                  <c:v>7.3459723176535858</c:v>
                </c:pt>
                <c:pt idx="4">
                  <c:v>7.0175629420576975</c:v>
                </c:pt>
                <c:pt idx="5">
                  <c:v>7.3260997797389074</c:v>
                </c:pt>
              </c:numCache>
            </c:numRef>
          </c:val>
        </c:ser>
        <c:ser>
          <c:idx val="8"/>
          <c:order val="8"/>
          <c:tx>
            <c:strRef>
              <c:f>Country_dynamics_data!$B$10</c:f>
              <c:strCache>
                <c:ptCount val="1"/>
                <c:pt idx="0">
                  <c:v>Podíl osob využívajících e-government</c:v>
                </c:pt>
              </c:strCache>
            </c:strRef>
          </c:tx>
          <c:invertIfNegative val="0"/>
          <c:val>
            <c:numRef>
              <c:f>Country_dynamics_data!$C$10:$H$10</c:f>
              <c:numCache>
                <c:formatCode>0</c:formatCode>
                <c:ptCount val="6"/>
                <c:pt idx="0">
                  <c:v>3.8170128800428222</c:v>
                </c:pt>
                <c:pt idx="1">
                  <c:v>2.7720147123224441</c:v>
                </c:pt>
                <c:pt idx="2">
                  <c:v>5.4254942275637807</c:v>
                </c:pt>
                <c:pt idx="3">
                  <c:v>2.7065359821941106</c:v>
                </c:pt>
                <c:pt idx="4">
                  <c:v>3.4212821578755825</c:v>
                </c:pt>
                <c:pt idx="5">
                  <c:v>3.5777360954349167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09161856"/>
        <c:axId val="109167744"/>
      </c:barChart>
      <c:catAx>
        <c:axId val="10916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cs-CZ"/>
          </a:p>
        </c:txPr>
        <c:crossAx val="109167744"/>
        <c:crosses val="autoZero"/>
        <c:auto val="1"/>
        <c:lblAlgn val="ctr"/>
        <c:lblOffset val="100"/>
        <c:noMultiLvlLbl val="0"/>
      </c:catAx>
      <c:valAx>
        <c:axId val="1091677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cs-CZ"/>
          </a:p>
        </c:txPr>
        <c:crossAx val="109161856"/>
        <c:crosses val="autoZero"/>
        <c:crossBetween val="between"/>
        <c:majorUnit val="20"/>
      </c:valAx>
    </c:plotArea>
    <c:legend>
      <c:legendPos val="t"/>
      <c:layout>
        <c:manualLayout>
          <c:xMode val="edge"/>
          <c:yMode val="edge"/>
          <c:x val="2.2757601453664445E-2"/>
          <c:y val="0.1234363018859099"/>
          <c:w val="0.96903349243122439"/>
          <c:h val="0.15010248965497655"/>
        </c:manualLayout>
      </c:layout>
      <c:overlay val="0"/>
      <c:txPr>
        <a:bodyPr/>
        <a:lstStyle/>
        <a:p>
          <a:pPr>
            <a:defRPr sz="1100"/>
          </a:pPr>
          <a:endParaRPr lang="cs-CZ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cs-CZ" sz="2000"/>
              <a:t>Náklady práce proti Erste Inovačnímu Barometru</a:t>
            </a:r>
            <a:endParaRPr lang="en-US" sz="2000"/>
          </a:p>
        </c:rich>
      </c:tx>
      <c:layout>
        <c:manualLayout>
          <c:xMode val="edge"/>
          <c:yMode val="edge"/>
          <c:x val="0.22874879680087734"/>
          <c:y val="2.716751857462406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0715565344275889E-2"/>
          <c:y val="0.11306399574666037"/>
          <c:w val="0.89252526737618754"/>
          <c:h val="0.773978309086873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dPt>
            <c:idx val="15"/>
            <c:marker>
              <c:symbol val="circle"/>
              <c:size val="8"/>
              <c:spPr>
                <a:solidFill>
                  <a:schemeClr val="accent3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sz="1100"/>
                      <a:t>Dánsko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sz="1100"/>
                      <a:t>Finsko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1100"/>
                      <a:t>Švédsko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1100"/>
                      <a:t>Nizozemsko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sz="1100"/>
                      <a:t>Irsko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1100"/>
                      <a:t>Spojené království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 sz="1100"/>
                      <a:t>Rakousko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1100"/>
                      <a:t>Francie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2.5933445514561795E-2"/>
                  <c:y val="-1.8808291511075912E-2"/>
                </c:manualLayout>
              </c:layout>
              <c:tx>
                <c:rich>
                  <a:bodyPr/>
                  <a:lstStyle/>
                  <a:p>
                    <a:r>
                      <a:rPr lang="en-US" sz="1100"/>
                      <a:t>Německo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2.5982098659365509E-2"/>
                  <c:y val="-1.8939130585924599E-2"/>
                </c:manualLayout>
              </c:layout>
              <c:tx>
                <c:rich>
                  <a:bodyPr/>
                  <a:lstStyle/>
                  <a:p>
                    <a:r>
                      <a:rPr lang="en-US" sz="1100"/>
                      <a:t>Lucembursko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 sz="1100"/>
                      <a:t>Belgie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 sz="1100"/>
                      <a:t>Malta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 sz="1100"/>
                      <a:t>Slovinsko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 sz="1100"/>
                      <a:t>Estonsko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1.7743936404700178E-2"/>
                  <c:y val="-1.0449050839486617E-2"/>
                </c:manualLayout>
              </c:layout>
              <c:tx>
                <c:rich>
                  <a:bodyPr/>
                  <a:lstStyle/>
                  <a:p>
                    <a:r>
                      <a:rPr lang="en-US" sz="1100"/>
                      <a:t>Portugalsko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1.3649181849769367E-3"/>
                  <c:y val="8.3592406715892933E-3"/>
                </c:manualLayout>
              </c:layout>
              <c:tx>
                <c:rich>
                  <a:bodyPr/>
                  <a:lstStyle/>
                  <a:p>
                    <a:pPr>
                      <a:defRPr sz="1100" b="1"/>
                    </a:pPr>
                    <a:r>
                      <a:rPr lang="en-US" sz="1100" b="1"/>
                      <a:t>Česká republika</a:t>
                    </a:r>
                    <a:endParaRPr lang="en-US" b="1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 sz="1100"/>
                      <a:t>Maďarsko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 sz="1100"/>
                      <a:t>Španělsko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 sz="1100"/>
                      <a:t>Kypr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1.9108854589677114E-2"/>
                  <c:y val="-1.6718481343178587E-2"/>
                </c:manualLayout>
              </c:layout>
              <c:tx>
                <c:rich>
                  <a:bodyPr/>
                  <a:lstStyle/>
                  <a:p>
                    <a:r>
                      <a:rPr lang="en-US" sz="1100"/>
                      <a:t>Slovensko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 sz="1100"/>
                      <a:t>Lotyšsko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1.9108854589677114E-2"/>
                  <c:y val="1.8808291511075912E-2"/>
                </c:manualLayout>
              </c:layout>
              <c:tx>
                <c:rich>
                  <a:bodyPr/>
                  <a:lstStyle/>
                  <a:p>
                    <a:r>
                      <a:rPr lang="en-US" sz="1100"/>
                      <a:t>Litva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 sz="1100"/>
                      <a:t>Polsko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 sz="1100"/>
                      <a:t>Chorvatsko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 sz="1100"/>
                      <a:t>Řecko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 sz="1100"/>
                      <a:t>Itálie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 sz="1100"/>
                      <a:t>Bulharsko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 sz="1100"/>
                      <a:t>Rumunsko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/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spPr>
              <a:ln w="25400">
                <a:solidFill>
                  <a:srgbClr val="FFC000"/>
                </a:solidFill>
                <a:prstDash val="lgDashDot"/>
              </a:ln>
            </c:spPr>
            <c:trendlineType val="linear"/>
            <c:intercept val="-0.8"/>
            <c:dispRSqr val="0"/>
            <c:dispEq val="0"/>
          </c:trendline>
          <c:xVal>
            <c:numRef>
              <c:f>Labor_data!$D$3:$D$30</c:f>
              <c:numCache>
                <c:formatCode>0</c:formatCode>
                <c:ptCount val="28"/>
                <c:pt idx="0">
                  <c:v>79.867133486466784</c:v>
                </c:pt>
                <c:pt idx="1">
                  <c:v>79.669392774622864</c:v>
                </c:pt>
                <c:pt idx="2">
                  <c:v>77.265073774921632</c:v>
                </c:pt>
                <c:pt idx="3">
                  <c:v>68.469817361616748</c:v>
                </c:pt>
                <c:pt idx="4">
                  <c:v>64.653612256787653</c:v>
                </c:pt>
                <c:pt idx="5">
                  <c:v>65.840034578333999</c:v>
                </c:pt>
                <c:pt idx="6">
                  <c:v>63.784302374555395</c:v>
                </c:pt>
                <c:pt idx="7">
                  <c:v>63.204672189940069</c:v>
                </c:pt>
                <c:pt idx="8">
                  <c:v>61.938270339278787</c:v>
                </c:pt>
                <c:pt idx="9">
                  <c:v>58.497547471720949</c:v>
                </c:pt>
                <c:pt idx="10">
                  <c:v>57.302515400492517</c:v>
                </c:pt>
                <c:pt idx="11">
                  <c:v>51.716429120314231</c:v>
                </c:pt>
                <c:pt idx="12">
                  <c:v>50.330153665842346</c:v>
                </c:pt>
                <c:pt idx="13">
                  <c:v>52.084753307856609</c:v>
                </c:pt>
                <c:pt idx="14">
                  <c:v>47.735894980462483</c:v>
                </c:pt>
                <c:pt idx="15">
                  <c:v>45.049486070568186</c:v>
                </c:pt>
                <c:pt idx="16">
                  <c:v>41.883015524446876</c:v>
                </c:pt>
                <c:pt idx="17">
                  <c:v>41.097754038375655</c:v>
                </c:pt>
                <c:pt idx="18">
                  <c:v>40.227321515263931</c:v>
                </c:pt>
                <c:pt idx="19">
                  <c:v>38.789557793257259</c:v>
                </c:pt>
                <c:pt idx="20">
                  <c:v>36.328307358888225</c:v>
                </c:pt>
                <c:pt idx="21">
                  <c:v>35.417863872950711</c:v>
                </c:pt>
                <c:pt idx="22">
                  <c:v>35.244652281143871</c:v>
                </c:pt>
                <c:pt idx="23">
                  <c:v>31.434980206875593</c:v>
                </c:pt>
                <c:pt idx="24">
                  <c:v>30.901294727078959</c:v>
                </c:pt>
                <c:pt idx="25">
                  <c:v>31.872607582595467</c:v>
                </c:pt>
                <c:pt idx="26">
                  <c:v>19.218375634929625</c:v>
                </c:pt>
                <c:pt idx="27">
                  <c:v>18.952267932768002</c:v>
                </c:pt>
              </c:numCache>
            </c:numRef>
          </c:xVal>
          <c:yVal>
            <c:numRef>
              <c:f>Labor_data!$G$3:$G$30</c:f>
              <c:numCache>
                <c:formatCode>0%</c:formatCode>
                <c:ptCount val="28"/>
                <c:pt idx="0">
                  <c:v>1.7142857142857142</c:v>
                </c:pt>
                <c:pt idx="1">
                  <c:v>1.3428571428571427</c:v>
                </c:pt>
                <c:pt idx="2">
                  <c:v>1.6408163265306124</c:v>
                </c:pt>
                <c:pt idx="3">
                  <c:v>1.3673469387755102</c:v>
                </c:pt>
                <c:pt idx="4">
                  <c:v>1.1591836734693877</c:v>
                </c:pt>
                <c:pt idx="5">
                  <c:v>0.90612244897959182</c:v>
                </c:pt>
                <c:pt idx="6">
                  <c:v>1.2938775510204081</c:v>
                </c:pt>
                <c:pt idx="7">
                  <c:v>1.4367346938775512</c:v>
                </c:pt>
                <c:pt idx="8">
                  <c:v>1.2979591836734694</c:v>
                </c:pt>
                <c:pt idx="9">
                  <c:v>1.4571428571428573</c:v>
                </c:pt>
                <c:pt idx="10">
                  <c:v>1.6775510204081634</c:v>
                </c:pt>
                <c:pt idx="11">
                  <c:v>0.48163265306122449</c:v>
                </c:pt>
                <c:pt idx="12">
                  <c:v>0.63265306122448983</c:v>
                </c:pt>
                <c:pt idx="13">
                  <c:v>0.41632653061224489</c:v>
                </c:pt>
                <c:pt idx="14">
                  <c:v>0.51428571428571423</c:v>
                </c:pt>
                <c:pt idx="15">
                  <c:v>0.39183673469387753</c:v>
                </c:pt>
                <c:pt idx="16">
                  <c:v>0.3183673469387755</c:v>
                </c:pt>
                <c:pt idx="17">
                  <c:v>0.8571428571428571</c:v>
                </c:pt>
                <c:pt idx="18">
                  <c:v>0.64081632653061227</c:v>
                </c:pt>
                <c:pt idx="19">
                  <c:v>0.40816326530612246</c:v>
                </c:pt>
                <c:pt idx="20">
                  <c:v>0.26938775510204083</c:v>
                </c:pt>
                <c:pt idx="21">
                  <c:v>0.26938775510204083</c:v>
                </c:pt>
                <c:pt idx="22">
                  <c:v>0.33469387755102037</c:v>
                </c:pt>
                <c:pt idx="23">
                  <c:v>0.37959183673469393</c:v>
                </c:pt>
                <c:pt idx="24">
                  <c:v>0.58775510204081638</c:v>
                </c:pt>
                <c:pt idx="25">
                  <c:v>1.1183673469387754</c:v>
                </c:pt>
                <c:pt idx="26">
                  <c:v>0.15510204081632653</c:v>
                </c:pt>
                <c:pt idx="27">
                  <c:v>0.19591836734693877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05670528"/>
        <c:axId val="105672064"/>
      </c:scatterChart>
      <c:valAx>
        <c:axId val="105670528"/>
        <c:scaling>
          <c:orientation val="minMax"/>
          <c:max val="100"/>
          <c:min val="0"/>
        </c:scaling>
        <c:delete val="0"/>
        <c:axPos val="b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" sourceLinked="1"/>
        <c:majorTickMark val="out"/>
        <c:minorTickMark val="none"/>
        <c:tickLblPos val="nextTo"/>
        <c:crossAx val="105672064"/>
        <c:crosses val="autoZero"/>
        <c:crossBetween val="midCat"/>
        <c:majorUnit val="10"/>
      </c:valAx>
      <c:valAx>
        <c:axId val="10567206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cs-CZ"/>
          </a:p>
        </c:txPr>
        <c:crossAx val="105670528"/>
        <c:crosses val="autoZero"/>
        <c:crossBetween val="midCat"/>
      </c:valAx>
    </c:plotArea>
    <c:plotVisOnly val="1"/>
    <c:dispBlanksAs val="gap"/>
    <c:showDLblsOverMax val="0"/>
  </c:chart>
  <c:spPr>
    <a:noFill/>
    <a:ln>
      <a:noFill/>
    </a:ln>
  </c:sp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cs-CZ"/>
              <a:t>Riziko ohrožení chudobou proti Erste Inovačnímu Barometru</a:t>
            </a:r>
            <a:endParaRPr lang="en-US"/>
          </a:p>
        </c:rich>
      </c:tx>
      <c:layout>
        <c:manualLayout>
          <c:xMode val="edge"/>
          <c:yMode val="edge"/>
          <c:x val="0.18893600838994051"/>
          <c:y val="2.716751857462406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1138464720612721E-2"/>
          <c:y val="0.11730909618426348"/>
          <c:w val="0.89252526737618754"/>
          <c:h val="0.773978309086873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dPt>
            <c:idx val="15"/>
            <c:marker>
              <c:symbol val="circle"/>
              <c:size val="8"/>
              <c:spPr>
                <a:solidFill>
                  <a:schemeClr val="accent3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Dánsko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Finsko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Švédsko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Nizozemsko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Spojené království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Rakousko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6.5516072878892953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Francie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2.5933445514561795E-2"/>
                  <c:y val="-1.8808291511075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Německo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5.4596727399077467E-3"/>
                  <c:y val="-1.044905083948665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Lucembursko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Belgie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Malta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Slovinsko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Estonsko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6.8245909248846829E-3"/>
                  <c:y val="1.25388610073839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Portugalsko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1.3649181849769367E-3"/>
                  <c:y val="8.3592406715892933E-3"/>
                </c:manualLayout>
              </c:layout>
              <c:tx>
                <c:rich>
                  <a:bodyPr/>
                  <a:lstStyle/>
                  <a:p>
                    <a:pPr>
                      <a:defRPr b="1"/>
                    </a:pPr>
                    <a:r>
                      <a:rPr lang="en-US" b="1"/>
                      <a:t>Česká republika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Maďarsko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Španělsko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Kypr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1.9108854589677114E-2"/>
                  <c:y val="-1.67184813431785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Slovensko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Lotyšsko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1.9108854589677114E-2"/>
                  <c:y val="1.8808291511075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Litva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Polsko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8.1895091098616202E-2"/>
                  <c:y val="-8.359240671589293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Chorvatsko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Řecko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Itálie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1.0919345479815493E-2"/>
                  <c:y val="1.25388610073839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Bulharsko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2.5933445514561795E-2"/>
                  <c:y val="-2.089810167897323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Rumunsko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spPr>
              <a:ln w="25400">
                <a:solidFill>
                  <a:srgbClr val="FFC000"/>
                </a:solidFill>
                <a:prstDash val="lgDashDot"/>
              </a:ln>
            </c:spPr>
            <c:trendlineType val="linear"/>
            <c:dispRSqr val="0"/>
            <c:dispEq val="0"/>
          </c:trendline>
          <c:xVal>
            <c:numRef>
              <c:f>Labor_data!$D$3:$D$30</c:f>
              <c:numCache>
                <c:formatCode>0</c:formatCode>
                <c:ptCount val="28"/>
                <c:pt idx="0">
                  <c:v>79.867133486466784</c:v>
                </c:pt>
                <c:pt idx="1">
                  <c:v>79.669392774622864</c:v>
                </c:pt>
                <c:pt idx="2">
                  <c:v>77.265073774921632</c:v>
                </c:pt>
                <c:pt idx="3">
                  <c:v>68.469817361616748</c:v>
                </c:pt>
                <c:pt idx="4">
                  <c:v>64.653612256787653</c:v>
                </c:pt>
                <c:pt idx="5">
                  <c:v>65.840034578333999</c:v>
                </c:pt>
                <c:pt idx="6">
                  <c:v>63.784302374555395</c:v>
                </c:pt>
                <c:pt idx="7">
                  <c:v>63.204672189940069</c:v>
                </c:pt>
                <c:pt idx="8">
                  <c:v>61.938270339278787</c:v>
                </c:pt>
                <c:pt idx="9">
                  <c:v>58.497547471720949</c:v>
                </c:pt>
                <c:pt idx="10">
                  <c:v>57.302515400492517</c:v>
                </c:pt>
                <c:pt idx="11">
                  <c:v>51.716429120314231</c:v>
                </c:pt>
                <c:pt idx="12">
                  <c:v>50.330153665842346</c:v>
                </c:pt>
                <c:pt idx="13">
                  <c:v>52.084753307856609</c:v>
                </c:pt>
                <c:pt idx="14">
                  <c:v>47.735894980462483</c:v>
                </c:pt>
                <c:pt idx="15">
                  <c:v>45.049486070568186</c:v>
                </c:pt>
                <c:pt idx="16">
                  <c:v>41.883015524446876</c:v>
                </c:pt>
                <c:pt idx="17">
                  <c:v>41.097754038375655</c:v>
                </c:pt>
                <c:pt idx="18">
                  <c:v>40.227321515263931</c:v>
                </c:pt>
                <c:pt idx="19">
                  <c:v>38.789557793257259</c:v>
                </c:pt>
                <c:pt idx="20">
                  <c:v>36.328307358888225</c:v>
                </c:pt>
                <c:pt idx="21">
                  <c:v>35.417863872950711</c:v>
                </c:pt>
                <c:pt idx="22">
                  <c:v>35.244652281143871</c:v>
                </c:pt>
                <c:pt idx="23">
                  <c:v>31.434980206875593</c:v>
                </c:pt>
                <c:pt idx="24">
                  <c:v>30.901294727078959</c:v>
                </c:pt>
                <c:pt idx="25">
                  <c:v>31.872607582595467</c:v>
                </c:pt>
                <c:pt idx="26">
                  <c:v>19.218375634929625</c:v>
                </c:pt>
                <c:pt idx="27">
                  <c:v>18.952267932768002</c:v>
                </c:pt>
              </c:numCache>
            </c:numRef>
          </c:xVal>
          <c:yVal>
            <c:numRef>
              <c:f>Labor_data!$O$3:$O$30</c:f>
              <c:numCache>
                <c:formatCode>0.00%</c:formatCode>
                <c:ptCount val="28"/>
                <c:pt idx="0">
                  <c:v>0.12300000000000001</c:v>
                </c:pt>
                <c:pt idx="1">
                  <c:v>0.11800000000000001</c:v>
                </c:pt>
                <c:pt idx="2">
                  <c:v>0.14800000000000002</c:v>
                </c:pt>
                <c:pt idx="3">
                  <c:v>0.10400000000000001</c:v>
                </c:pt>
                <c:pt idx="4">
                  <c:v>0.14099999999999999</c:v>
                </c:pt>
                <c:pt idx="5">
                  <c:v>0.159</c:v>
                </c:pt>
                <c:pt idx="6">
                  <c:v>0.14400000000000002</c:v>
                </c:pt>
                <c:pt idx="7">
                  <c:v>0.13699999999999998</c:v>
                </c:pt>
                <c:pt idx="8">
                  <c:v>0.161</c:v>
                </c:pt>
                <c:pt idx="9">
                  <c:v>0.159</c:v>
                </c:pt>
                <c:pt idx="10">
                  <c:v>0.151</c:v>
                </c:pt>
                <c:pt idx="11">
                  <c:v>0.157</c:v>
                </c:pt>
                <c:pt idx="12">
                  <c:v>0.14499999999999999</c:v>
                </c:pt>
                <c:pt idx="13">
                  <c:v>0.18600000000000003</c:v>
                </c:pt>
                <c:pt idx="14">
                  <c:v>0.187</c:v>
                </c:pt>
                <c:pt idx="15">
                  <c:v>8.5999999999999993E-2</c:v>
                </c:pt>
                <c:pt idx="16">
                  <c:v>0.14300000000000002</c:v>
                </c:pt>
                <c:pt idx="17">
                  <c:v>0.20399999999999999</c:v>
                </c:pt>
                <c:pt idx="18">
                  <c:v>0.153</c:v>
                </c:pt>
                <c:pt idx="19">
                  <c:v>0.128</c:v>
                </c:pt>
                <c:pt idx="20">
                  <c:v>0.19399999999999998</c:v>
                </c:pt>
                <c:pt idx="21">
                  <c:v>0.20600000000000002</c:v>
                </c:pt>
                <c:pt idx="22">
                  <c:v>0.17300000000000001</c:v>
                </c:pt>
                <c:pt idx="23">
                  <c:v>0.19500000000000001</c:v>
                </c:pt>
                <c:pt idx="24">
                  <c:v>0.23100000000000001</c:v>
                </c:pt>
                <c:pt idx="25">
                  <c:v>0.191</c:v>
                </c:pt>
                <c:pt idx="26">
                  <c:v>0.21</c:v>
                </c:pt>
                <c:pt idx="27">
                  <c:v>0.22399999999999998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4775936"/>
        <c:axId val="114777472"/>
      </c:scatterChart>
      <c:valAx>
        <c:axId val="114775936"/>
        <c:scaling>
          <c:orientation val="minMax"/>
          <c:max val="100"/>
          <c:min val="0"/>
        </c:scaling>
        <c:delete val="0"/>
        <c:axPos val="b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" sourceLinked="1"/>
        <c:majorTickMark val="out"/>
        <c:minorTickMark val="none"/>
        <c:tickLblPos val="nextTo"/>
        <c:crossAx val="114777472"/>
        <c:crosses val="autoZero"/>
        <c:crossBetween val="midCat"/>
        <c:majorUnit val="10"/>
      </c:valAx>
      <c:valAx>
        <c:axId val="114777472"/>
        <c:scaling>
          <c:orientation val="minMax"/>
          <c:max val="0.25"/>
          <c:min val="5.000000000000001E-2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114775936"/>
        <c:crosses val="autoZero"/>
        <c:crossBetween val="midCat"/>
        <c:majorUnit val="5.000000000000001E-2"/>
      </c:valAx>
    </c:plotArea>
    <c:plotVisOnly val="1"/>
    <c:dispBlanksAs val="gap"/>
    <c:showDLblsOverMax val="0"/>
  </c:chart>
  <c:spPr>
    <a:ln>
      <a:noFill/>
    </a:ln>
  </c:sp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cs-CZ"/>
              <a:t>Výsledky testů</a:t>
            </a:r>
            <a:r>
              <a:rPr lang="cs-CZ" baseline="0"/>
              <a:t> PISA </a:t>
            </a:r>
            <a:r>
              <a:rPr lang="cs-CZ"/>
              <a:t>proti Erste Inovačnímu Barometru</a:t>
            </a:r>
            <a:endParaRPr lang="en-US"/>
          </a:p>
        </c:rich>
      </c:tx>
      <c:layout>
        <c:manualLayout>
          <c:xMode val="edge"/>
          <c:yMode val="edge"/>
          <c:x val="0.24229421995799644"/>
          <c:y val="2.716751857462406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1138464720612721E-2"/>
          <c:y val="0.11730909618426348"/>
          <c:w val="0.89252526737618754"/>
          <c:h val="0.77397830908687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PISA_data!$E$1</c:f>
              <c:strCache>
                <c:ptCount val="1"/>
                <c:pt idx="0">
                  <c:v>PISA(body)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dPt>
            <c:idx val="14"/>
            <c:marker>
              <c:symbol val="circle"/>
              <c:size val="8"/>
              <c:spPr>
                <a:solidFill>
                  <a:srgbClr val="FF6600"/>
                </a:solidFill>
                <a:ln w="19050">
                  <a:solidFill>
                    <a:schemeClr val="tx1"/>
                  </a:solidFill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Dánsko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Finsko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Švédsko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Nizozemsko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Spojené království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1.3681592709757938E-3"/>
                  <c:y val="1.698022138465014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Rakousko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2412937400249609E-2"/>
                  <c:y val="2.75928597500564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Francie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4.5149255942201198E-2"/>
                  <c:y val="-2.75928597500564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Německo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Lucembursko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Belgie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Slovinsko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Estonsko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Portugalsko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3.967661885829802E-2"/>
                  <c:y val="-2.97153874231377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Česká republika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Maďarsko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Španělsko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Kypr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Slovensko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Lotyšsko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5.0165260422409938E-17"/>
                  <c:y val="-8.490110692325074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Litva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Polsko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Chorvatsko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Řecko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Itálie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Bulharsko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5.472637083903175E-2"/>
                  <c:y val="-3.6082970442381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Rumunsko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spPr>
              <a:ln w="25400">
                <a:solidFill>
                  <a:srgbClr val="FFC000"/>
                </a:solidFill>
                <a:prstDash val="lgDashDot"/>
              </a:ln>
            </c:spPr>
            <c:trendlineType val="linear"/>
            <c:dispRSqr val="0"/>
            <c:dispEq val="0"/>
          </c:trendline>
          <c:xVal>
            <c:numRef>
              <c:f>PISA_data!$D$3:$D$29</c:f>
              <c:numCache>
                <c:formatCode>0</c:formatCode>
                <c:ptCount val="27"/>
                <c:pt idx="0">
                  <c:v>79.867133486466784</c:v>
                </c:pt>
                <c:pt idx="1">
                  <c:v>79.669392774622864</c:v>
                </c:pt>
                <c:pt idx="2">
                  <c:v>77.265073774921632</c:v>
                </c:pt>
                <c:pt idx="3">
                  <c:v>68.469817361616748</c:v>
                </c:pt>
                <c:pt idx="4">
                  <c:v>64.653612256787653</c:v>
                </c:pt>
                <c:pt idx="5">
                  <c:v>65.840034578333999</c:v>
                </c:pt>
                <c:pt idx="6">
                  <c:v>63.784302374555395</c:v>
                </c:pt>
                <c:pt idx="7">
                  <c:v>63.204672189940069</c:v>
                </c:pt>
                <c:pt idx="8">
                  <c:v>61.938270339278787</c:v>
                </c:pt>
                <c:pt idx="9">
                  <c:v>58.497547471720949</c:v>
                </c:pt>
                <c:pt idx="10">
                  <c:v>57.302515400492517</c:v>
                </c:pt>
                <c:pt idx="11">
                  <c:v>50.330153665842346</c:v>
                </c:pt>
                <c:pt idx="12">
                  <c:v>52.084753307856609</c:v>
                </c:pt>
                <c:pt idx="13">
                  <c:v>47.735894980462483</c:v>
                </c:pt>
                <c:pt idx="14">
                  <c:v>45.049486070568186</c:v>
                </c:pt>
                <c:pt idx="15">
                  <c:v>41.883015524446876</c:v>
                </c:pt>
                <c:pt idx="16">
                  <c:v>41.097754038375655</c:v>
                </c:pt>
                <c:pt idx="17">
                  <c:v>40.227321515263931</c:v>
                </c:pt>
                <c:pt idx="18">
                  <c:v>38.789557793257259</c:v>
                </c:pt>
                <c:pt idx="19">
                  <c:v>36.328307358888225</c:v>
                </c:pt>
                <c:pt idx="20">
                  <c:v>35.417863872950711</c:v>
                </c:pt>
                <c:pt idx="21">
                  <c:v>35.244652281143871</c:v>
                </c:pt>
                <c:pt idx="22">
                  <c:v>31.434980206875593</c:v>
                </c:pt>
                <c:pt idx="23">
                  <c:v>30.901294727078959</c:v>
                </c:pt>
                <c:pt idx="24">
                  <c:v>31.872607582595467</c:v>
                </c:pt>
                <c:pt idx="25">
                  <c:v>19.218375634929625</c:v>
                </c:pt>
                <c:pt idx="26">
                  <c:v>18.952267932768002</c:v>
                </c:pt>
              </c:numCache>
            </c:numRef>
          </c:xVal>
          <c:yVal>
            <c:numRef>
              <c:f>PISA_data!$H$3:$H$29</c:f>
              <c:numCache>
                <c:formatCode>0</c:formatCode>
                <c:ptCount val="27"/>
                <c:pt idx="0">
                  <c:v>498.21061314615281</c:v>
                </c:pt>
                <c:pt idx="1">
                  <c:v>529.40464832144596</c:v>
                </c:pt>
                <c:pt idx="2">
                  <c:v>482.13153576207236</c:v>
                </c:pt>
                <c:pt idx="3">
                  <c:v>518.75251505463655</c:v>
                </c:pt>
                <c:pt idx="4">
                  <c:v>515.55820987808818</c:v>
                </c:pt>
                <c:pt idx="5">
                  <c:v>502.4622223605125</c:v>
                </c:pt>
                <c:pt idx="6">
                  <c:v>500.31044190060743</c:v>
                </c:pt>
                <c:pt idx="7">
                  <c:v>499.8123506167048</c:v>
                </c:pt>
                <c:pt idx="8">
                  <c:v>515.10746161415307</c:v>
                </c:pt>
                <c:pt idx="9">
                  <c:v>489.62243884722028</c:v>
                </c:pt>
                <c:pt idx="10">
                  <c:v>509.33825803165252</c:v>
                </c:pt>
                <c:pt idx="11">
                  <c:v>498.86208694960243</c:v>
                </c:pt>
                <c:pt idx="12">
                  <c:v>526.08148738465491</c:v>
                </c:pt>
                <c:pt idx="13">
                  <c:v>488.03186684933979</c:v>
                </c:pt>
                <c:pt idx="14">
                  <c:v>500.0488999611332</c:v>
                </c:pt>
                <c:pt idx="15">
                  <c:v>486.60271339853927</c:v>
                </c:pt>
                <c:pt idx="16">
                  <c:v>489.56810074139645</c:v>
                </c:pt>
                <c:pt idx="17">
                  <c:v>442.10840740793924</c:v>
                </c:pt>
                <c:pt idx="18">
                  <c:v>471.86831801418754</c:v>
                </c:pt>
                <c:pt idx="19">
                  <c:v>493.81720909617678</c:v>
                </c:pt>
                <c:pt idx="20">
                  <c:v>483.94332512674276</c:v>
                </c:pt>
                <c:pt idx="21">
                  <c:v>520.5014742682614</c:v>
                </c:pt>
                <c:pt idx="22">
                  <c:v>482.35102523972847</c:v>
                </c:pt>
                <c:pt idx="23">
                  <c:v>465.63087762188064</c:v>
                </c:pt>
                <c:pt idx="24">
                  <c:v>489.53902203413219</c:v>
                </c:pt>
                <c:pt idx="25">
                  <c:v>440.4442315107579</c:v>
                </c:pt>
                <c:pt idx="26">
                  <c:v>440.30726242560519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4899968"/>
        <c:axId val="115569408"/>
      </c:scatterChart>
      <c:valAx>
        <c:axId val="114899968"/>
        <c:scaling>
          <c:orientation val="minMax"/>
          <c:max val="100"/>
          <c:min val="0"/>
        </c:scaling>
        <c:delete val="0"/>
        <c:axPos val="b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" sourceLinked="1"/>
        <c:majorTickMark val="out"/>
        <c:minorTickMark val="none"/>
        <c:tickLblPos val="nextTo"/>
        <c:crossAx val="115569408"/>
        <c:crosses val="autoZero"/>
        <c:crossBetween val="midCat"/>
        <c:majorUnit val="10"/>
      </c:valAx>
      <c:valAx>
        <c:axId val="115569408"/>
        <c:scaling>
          <c:orientation val="minMax"/>
          <c:min val="40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" sourceLinked="1"/>
        <c:majorTickMark val="out"/>
        <c:minorTickMark val="none"/>
        <c:tickLblPos val="nextTo"/>
        <c:crossAx val="1148999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ummaryChart">
    <tabColor theme="0" tint="-0.14999847407452621"/>
  </sheetPr>
  <sheetViews>
    <sheetView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rtIndice">
    <tabColor theme="0" tint="-0.14999847407452621"/>
  </sheetPr>
  <sheetViews>
    <sheetView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ountryChart">
    <tabColor theme="0" tint="-0.14999847407452621"/>
  </sheetPr>
  <sheetViews>
    <sheetView zoomScale="90" workbookViewId="0"/>
  </sheetViews>
  <pageMargins left="0.7" right="0.7" top="0.75" bottom="0.75" header="0.3" footer="0.3"/>
  <drawing r:id="rId1"/>
  <legacy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ountryChart1">
    <tabColor theme="0" tint="-0.14999847407452621"/>
  </sheetPr>
  <sheetViews>
    <sheetView workbookViewId="0"/>
  </sheetViews>
  <pageMargins left="0.7" right="0.7" top="0.75" bottom="0.75" header="0.3" footer="0.3"/>
  <drawing r:id="rId1"/>
  <legacy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4">
    <tabColor theme="0" tint="-0.14999847407452621"/>
  </sheetPr>
  <sheetViews>
    <sheetView zoomScale="110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5">
    <tabColor theme="0" tint="-0.14999847407452621"/>
  </sheetPr>
  <sheetViews>
    <sheetView zoomScale="110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6">
    <tabColor theme="0" tint="-0.14999847407452621"/>
  </sheetPr>
  <sheetViews>
    <sheetView zoomScale="11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Drop" dropLines="10" dropStyle="combo" dx="16" fmlaLink="MetricTitle" fmlaRange="tblMetricNames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1447800</xdr:colOff>
          <xdr:row>5</xdr:row>
          <xdr:rowOff>9525</xdr:rowOff>
        </xdr:to>
        <xdr:sp macro="" textlink="">
          <xdr:nvSpPr>
            <xdr:cNvPr id="14337" name="ddlMetric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9525</xdr:rowOff>
    </xdr:from>
    <xdr:to>
      <xdr:col>0</xdr:col>
      <xdr:colOff>1447800</xdr:colOff>
      <xdr:row>2</xdr:row>
      <xdr:rowOff>171450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447800" cy="619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24950" cy="5629275"/>
    <xdr:graphicFrame macro="">
      <xdr:nvGraphicFramePr>
        <xdr:cNvPr id="2" name="Graf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0.1185</cdr:y>
    </cdr:from>
    <cdr:to>
      <cdr:x>0.051</cdr:x>
      <cdr:y>0.151</cdr:y>
    </cdr:to>
    <cdr:sp macro="" textlink="">
      <cdr:nvSpPr>
        <cdr:cNvPr id="37580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670455"/>
          <a:ext cx="466344" cy="1838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cs-CZ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body</a:t>
          </a:r>
        </a:p>
      </cdr:txBody>
    </cdr:sp>
  </cdr:relSizeAnchor>
  <cdr:relSizeAnchor xmlns:cdr="http://schemas.openxmlformats.org/drawingml/2006/chartDrawing">
    <cdr:from>
      <cdr:x>0.86576</cdr:x>
      <cdr:y>0</cdr:y>
    </cdr:from>
    <cdr:to>
      <cdr:x>1</cdr:x>
      <cdr:y>0.09038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924800" y="0"/>
          <a:ext cx="1228725" cy="511332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24950" cy="5629275"/>
    <xdr:graphicFrame macro="">
      <xdr:nvGraphicFramePr>
        <xdr:cNvPr id="2" name="Graf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0.18053</cdr:y>
    </cdr:from>
    <cdr:to>
      <cdr:x>0.05025</cdr:x>
      <cdr:y>0.22728</cdr:y>
    </cdr:to>
    <cdr:sp macro="" textlink="">
      <cdr:nvSpPr>
        <cdr:cNvPr id="3747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021423"/>
          <a:ext cx="459965" cy="2645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cs-CZ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bodů</a:t>
          </a:r>
        </a:p>
      </cdr:txBody>
    </cdr:sp>
  </cdr:relSizeAnchor>
  <cdr:relSizeAnchor xmlns:cdr="http://schemas.openxmlformats.org/drawingml/2006/chartDrawing">
    <cdr:from>
      <cdr:x>0.04138</cdr:x>
      <cdr:y>0.4785</cdr:y>
    </cdr:from>
    <cdr:to>
      <cdr:x>0.99738</cdr:x>
      <cdr:y>0.4785</cdr:y>
    </cdr:to>
    <cdr:sp macro="" textlink="">
      <cdr:nvSpPr>
        <cdr:cNvPr id="374788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77604" y="2693608"/>
          <a:ext cx="8723453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9050" cap="rnd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ysDot"/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0.8055</cdr:x>
      <cdr:y>0.431</cdr:y>
    </cdr:from>
    <cdr:to>
      <cdr:x>0.99425</cdr:x>
      <cdr:y>0.4785</cdr:y>
    </cdr:to>
    <cdr:sp macro="" textlink="">
      <cdr:nvSpPr>
        <cdr:cNvPr id="37478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365492" y="2438533"/>
          <a:ext cx="1725930" cy="2687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0" tIns="22860" rIns="27432" bIns="22860" anchor="ctr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cs-CZ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průměr = 50 bodů</a:t>
          </a:r>
        </a:p>
      </cdr:txBody>
    </cdr:sp>
  </cdr:relSizeAnchor>
  <cdr:relSizeAnchor xmlns:cdr="http://schemas.openxmlformats.org/drawingml/2006/chartDrawing">
    <cdr:from>
      <cdr:x>0.85883</cdr:x>
      <cdr:y>0.00898</cdr:y>
    </cdr:from>
    <cdr:to>
      <cdr:x>0.99307</cdr:x>
      <cdr:y>0.09936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861300" y="50800"/>
          <a:ext cx="1228769" cy="511356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6875" cy="5991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5991225"/>
    <xdr:graphicFrame macro="">
      <xdr:nvGraphicFramePr>
        <xdr:cNvPr id="2" name="Graf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2545" cy="598343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0.3764</cdr:x>
      <cdr:y>0.9443</cdr:y>
    </cdr:from>
    <cdr:to>
      <cdr:x>0.66827</cdr:x>
      <cdr:y>0.98187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02207" y="5738617"/>
          <a:ext cx="2715807" cy="228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cs-CZ" sz="1100" b="1"/>
            <a:t>Počet bodů v Erste Inovačním Barometru</a:t>
          </a:r>
          <a:endParaRPr lang="en-US" sz="1100" b="1"/>
        </a:p>
      </cdr:txBody>
    </cdr:sp>
  </cdr:relSizeAnchor>
  <cdr:relSizeAnchor xmlns:cdr="http://schemas.openxmlformats.org/drawingml/2006/chartDrawing">
    <cdr:from>
      <cdr:x>0.27665</cdr:x>
      <cdr:y>0.93912</cdr:y>
    </cdr:from>
    <cdr:to>
      <cdr:x>0.83503</cdr:x>
      <cdr:y>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574112" y="5707127"/>
          <a:ext cx="5195454" cy="3699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0.01523</cdr:x>
      <cdr:y>0.20078</cdr:y>
    </cdr:from>
    <cdr:to>
      <cdr:x>0.04315</cdr:x>
      <cdr:y>0.68523</cdr:y>
    </cdr:to>
    <cdr:sp macro="" textlink="">
      <cdr:nvSpPr>
        <cdr:cNvPr id="4" name="TextBox 3"/>
        <cdr:cNvSpPr txBox="1"/>
      </cdr:nvSpPr>
      <cdr:spPr>
        <a:xfrm xmlns:a="http://schemas.openxmlformats.org/drawingml/2006/main" flipV="1">
          <a:off x="141694" y="1220145"/>
          <a:ext cx="259773" cy="29440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0.25777</cdr:y>
    </cdr:from>
    <cdr:to>
      <cdr:x>0.03638</cdr:x>
      <cdr:y>0.68782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0" y="1566508"/>
          <a:ext cx="338492" cy="26134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/>
        <a:lstStyle xmlns:a="http://schemas.openxmlformats.org/drawingml/2006/main"/>
        <a:p xmlns:a="http://schemas.openxmlformats.org/drawingml/2006/main">
          <a:r>
            <a:rPr lang="cs-CZ" sz="1100" b="1"/>
            <a:t>Náklady práce vůči průměru Evropské</a:t>
          </a:r>
          <a:r>
            <a:rPr lang="cs-CZ" sz="1100" b="1" baseline="0"/>
            <a:t> unie</a:t>
          </a:r>
          <a:endParaRPr lang="en-US" sz="1100" b="1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2545" cy="598343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0.3764</cdr:x>
      <cdr:y>0.9443</cdr:y>
    </cdr:from>
    <cdr:to>
      <cdr:x>0.66827</cdr:x>
      <cdr:y>0.98187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02207" y="5738617"/>
          <a:ext cx="2715807" cy="228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cs-CZ" sz="1100" b="1"/>
            <a:t>Počet bodů v Erste Inovačním Barometru</a:t>
          </a:r>
          <a:endParaRPr lang="en-US" sz="1100" b="1"/>
        </a:p>
      </cdr:txBody>
    </cdr:sp>
  </cdr:relSizeAnchor>
  <cdr:relSizeAnchor xmlns:cdr="http://schemas.openxmlformats.org/drawingml/2006/chartDrawing">
    <cdr:from>
      <cdr:x>0.27665</cdr:x>
      <cdr:y>0.93912</cdr:y>
    </cdr:from>
    <cdr:to>
      <cdr:x>0.83503</cdr:x>
      <cdr:y>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574112" y="5707127"/>
          <a:ext cx="5195454" cy="3699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0.01523</cdr:x>
      <cdr:y>0.20078</cdr:y>
    </cdr:from>
    <cdr:to>
      <cdr:x>0.04315</cdr:x>
      <cdr:y>0.68523</cdr:y>
    </cdr:to>
    <cdr:sp macro="" textlink="">
      <cdr:nvSpPr>
        <cdr:cNvPr id="4" name="TextBox 3"/>
        <cdr:cNvSpPr txBox="1"/>
      </cdr:nvSpPr>
      <cdr:spPr>
        <a:xfrm xmlns:a="http://schemas.openxmlformats.org/drawingml/2006/main" flipV="1">
          <a:off x="141694" y="1220145"/>
          <a:ext cx="259773" cy="29440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0.00093</cdr:x>
      <cdr:y>0.31114</cdr:y>
    </cdr:from>
    <cdr:to>
      <cdr:x>0.03731</cdr:x>
      <cdr:y>0.58796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8659" y="1861705"/>
          <a:ext cx="337699" cy="16563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/>
        <a:lstStyle xmlns:a="http://schemas.openxmlformats.org/drawingml/2006/main"/>
        <a:p xmlns:a="http://schemas.openxmlformats.org/drawingml/2006/main">
          <a:r>
            <a:rPr lang="cs-CZ" sz="1100" b="1"/>
            <a:t>Riziko ohrožení chudobou</a:t>
          </a:r>
          <a:endParaRPr lang="en-US" sz="1100" b="1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2545" cy="5983432"/>
    <xdr:graphicFrame macro="">
      <xdr:nvGraphicFramePr>
        <xdr:cNvPr id="2" name="Graf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0.3764</cdr:x>
      <cdr:y>0.9443</cdr:y>
    </cdr:from>
    <cdr:to>
      <cdr:x>0.66827</cdr:x>
      <cdr:y>0.98187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02207" y="5738617"/>
          <a:ext cx="2715807" cy="228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cs-CZ" sz="1100" b="1"/>
            <a:t>Počet bodů v Erste Inovačním Barometru</a:t>
          </a:r>
          <a:endParaRPr lang="en-US" sz="1100" b="1"/>
        </a:p>
      </cdr:txBody>
    </cdr:sp>
  </cdr:relSizeAnchor>
  <cdr:relSizeAnchor xmlns:cdr="http://schemas.openxmlformats.org/drawingml/2006/chartDrawing">
    <cdr:from>
      <cdr:x>0.27665</cdr:x>
      <cdr:y>0.93912</cdr:y>
    </cdr:from>
    <cdr:to>
      <cdr:x>0.83503</cdr:x>
      <cdr:y>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574112" y="5707127"/>
          <a:ext cx="5195454" cy="3699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0.01523</cdr:x>
      <cdr:y>0.20078</cdr:y>
    </cdr:from>
    <cdr:to>
      <cdr:x>0.04315</cdr:x>
      <cdr:y>0.68523</cdr:y>
    </cdr:to>
    <cdr:sp macro="" textlink="">
      <cdr:nvSpPr>
        <cdr:cNvPr id="4" name="TextBox 3"/>
        <cdr:cNvSpPr txBox="1"/>
      </cdr:nvSpPr>
      <cdr:spPr>
        <a:xfrm xmlns:a="http://schemas.openxmlformats.org/drawingml/2006/main" flipV="1">
          <a:off x="141694" y="1220145"/>
          <a:ext cx="259773" cy="29440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0.27641</cdr:y>
    </cdr:from>
    <cdr:to>
      <cdr:x>0.03638</cdr:x>
      <cdr:y>0.62125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0" y="1653886"/>
          <a:ext cx="337699" cy="20632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/>
        <a:lstStyle xmlns:a="http://schemas.openxmlformats.org/drawingml/2006/main"/>
        <a:p xmlns:a="http://schemas.openxmlformats.org/drawingml/2006/main">
          <a:r>
            <a:rPr lang="cs-CZ" sz="1100" b="1"/>
            <a:t>Průměrný výsledek v testu</a:t>
          </a:r>
          <a:r>
            <a:rPr lang="cs-CZ" sz="1100" b="1" baseline="0"/>
            <a:t> PISA</a:t>
          </a:r>
          <a:endParaRPr lang="en-US" sz="1100" b="1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ing_business/07%20Index%20EIB/Index%202014/EIB_data_web_publi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B_data"/>
      <sheetName val="Input"/>
      <sheetName val="SummaryChart"/>
      <sheetName val="Souhrnny_graf_input"/>
      <sheetName val="SubIndexy"/>
      <sheetName val="SubIndexy_data"/>
    </sheetNames>
    <sheetDataSet>
      <sheetData sheetId="0" refreshError="1"/>
      <sheetData sheetId="1">
        <row r="3">
          <cell r="O3" t="str">
            <v>Short Name</v>
          </cell>
        </row>
      </sheetData>
      <sheetData sheetId="2" refreshError="1"/>
      <sheetData sheetId="3">
        <row r="3">
          <cell r="S3">
            <v>2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Motiv systému Office">
  <a:themeElements>
    <a:clrScheme name="Metro">
      <a:dk1>
        <a:sysClr val="windowText" lastClr="000000"/>
      </a:dk1>
      <a:lt1>
        <a:sysClr val="window" lastClr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3"/>
  <dimension ref="A1:P33"/>
  <sheetViews>
    <sheetView showGridLines="0" tabSelected="1" workbookViewId="0">
      <selection activeCell="A31" sqref="A31"/>
    </sheetView>
  </sheetViews>
  <sheetFormatPr defaultRowHeight="15" x14ac:dyDescent="0.25"/>
  <cols>
    <col min="1" max="1" width="21.85546875" customWidth="1"/>
    <col min="2" max="2" width="16" customWidth="1"/>
    <col min="3" max="9" width="10.28515625" customWidth="1"/>
    <col min="10" max="10" width="9.140625" style="5"/>
  </cols>
  <sheetData>
    <row r="1" spans="1:16" ht="21" x14ac:dyDescent="0.35">
      <c r="B1" s="30" t="s">
        <v>67</v>
      </c>
      <c r="L1" s="5"/>
      <c r="M1" s="5"/>
      <c r="N1" s="5"/>
      <c r="O1" s="5"/>
      <c r="P1" s="5"/>
    </row>
    <row r="2" spans="1:16" x14ac:dyDescent="0.25">
      <c r="B2" s="31" t="s">
        <v>107</v>
      </c>
      <c r="L2" s="32"/>
      <c r="M2" s="32"/>
      <c r="N2" s="32"/>
      <c r="O2" s="32"/>
      <c r="P2" s="32"/>
    </row>
    <row r="3" spans="1:16" x14ac:dyDescent="0.25">
      <c r="B3" s="33"/>
      <c r="C3" s="34" t="s">
        <v>108</v>
      </c>
      <c r="E3" s="35"/>
      <c r="F3" s="35"/>
      <c r="G3" s="35"/>
      <c r="H3" s="35"/>
      <c r="I3" s="32"/>
      <c r="J3" s="36" t="s">
        <v>109</v>
      </c>
      <c r="L3" s="5"/>
      <c r="M3" s="5"/>
      <c r="N3" s="5"/>
      <c r="O3" s="5"/>
      <c r="P3" s="5"/>
    </row>
    <row r="4" spans="1:16" x14ac:dyDescent="0.25">
      <c r="A4" s="37" t="s">
        <v>110</v>
      </c>
      <c r="B4" s="70"/>
      <c r="C4" s="90">
        <v>2009</v>
      </c>
      <c r="D4" s="91">
        <v>2010</v>
      </c>
      <c r="E4" s="91">
        <v>2011</v>
      </c>
      <c r="F4" s="91">
        <v>2012</v>
      </c>
      <c r="G4" s="91">
        <v>2013</v>
      </c>
      <c r="H4" s="91">
        <v>2014</v>
      </c>
      <c r="I4" s="92">
        <v>2015</v>
      </c>
      <c r="J4" s="86"/>
      <c r="K4" s="86"/>
      <c r="L4" s="86"/>
      <c r="M4" s="86"/>
      <c r="N4" s="86"/>
      <c r="O4" s="86"/>
      <c r="P4" s="87"/>
    </row>
    <row r="5" spans="1:16" x14ac:dyDescent="0.25">
      <c r="B5" s="71" t="s">
        <v>67</v>
      </c>
      <c r="C5" s="93" t="s">
        <v>114</v>
      </c>
      <c r="D5" s="94" t="s">
        <v>114</v>
      </c>
      <c r="E5" s="94" t="s">
        <v>114</v>
      </c>
      <c r="F5" s="94" t="s">
        <v>114</v>
      </c>
      <c r="G5" s="94" t="s">
        <v>114</v>
      </c>
      <c r="H5" s="94" t="s">
        <v>114</v>
      </c>
      <c r="I5" s="95" t="s">
        <v>114</v>
      </c>
      <c r="J5" s="88"/>
      <c r="K5" s="88"/>
      <c r="L5" s="88"/>
      <c r="M5" s="88"/>
      <c r="N5" s="88"/>
      <c r="O5" s="88"/>
      <c r="P5" s="89"/>
    </row>
    <row r="6" spans="1:16" x14ac:dyDescent="0.25">
      <c r="B6" s="45" t="s">
        <v>33</v>
      </c>
      <c r="C6" s="77" t="s">
        <v>360</v>
      </c>
      <c r="D6" s="78" t="s">
        <v>361</v>
      </c>
      <c r="E6" s="78" t="s">
        <v>362</v>
      </c>
      <c r="F6" s="78" t="s">
        <v>345</v>
      </c>
      <c r="G6" s="78" t="s">
        <v>363</v>
      </c>
      <c r="H6" s="78" t="s">
        <v>364</v>
      </c>
      <c r="I6" s="79" t="s">
        <v>365</v>
      </c>
      <c r="J6" s="177" t="s">
        <v>115</v>
      </c>
      <c r="K6" s="177" t="s">
        <v>115</v>
      </c>
      <c r="L6" s="177" t="s">
        <v>115</v>
      </c>
      <c r="M6" s="177" t="s">
        <v>115</v>
      </c>
      <c r="N6" s="177" t="s">
        <v>115</v>
      </c>
      <c r="O6" s="177" t="s">
        <v>115</v>
      </c>
      <c r="P6" s="178" t="s">
        <v>115</v>
      </c>
    </row>
    <row r="7" spans="1:16" x14ac:dyDescent="0.25">
      <c r="B7" s="51" t="s">
        <v>35</v>
      </c>
      <c r="C7" s="80" t="s">
        <v>366</v>
      </c>
      <c r="D7" s="81" t="s">
        <v>366</v>
      </c>
      <c r="E7" s="81" t="s">
        <v>367</v>
      </c>
      <c r="F7" s="81" t="s">
        <v>367</v>
      </c>
      <c r="G7" s="81" t="s">
        <v>368</v>
      </c>
      <c r="H7" s="81" t="s">
        <v>365</v>
      </c>
      <c r="I7" s="82" t="s">
        <v>364</v>
      </c>
      <c r="J7" s="179" t="s">
        <v>115</v>
      </c>
      <c r="K7" s="179" t="s">
        <v>115</v>
      </c>
      <c r="L7" s="179" t="s">
        <v>115</v>
      </c>
      <c r="M7" s="179" t="s">
        <v>115</v>
      </c>
      <c r="N7" s="179" t="s">
        <v>115</v>
      </c>
      <c r="O7" s="179" t="s">
        <v>115</v>
      </c>
      <c r="P7" s="180" t="s">
        <v>115</v>
      </c>
    </row>
    <row r="8" spans="1:16" x14ac:dyDescent="0.25">
      <c r="B8" s="51" t="s">
        <v>51</v>
      </c>
      <c r="C8" s="80" t="s">
        <v>369</v>
      </c>
      <c r="D8" s="81" t="s">
        <v>369</v>
      </c>
      <c r="E8" s="81" t="s">
        <v>370</v>
      </c>
      <c r="F8" s="81" t="s">
        <v>370</v>
      </c>
      <c r="G8" s="81" t="s">
        <v>362</v>
      </c>
      <c r="H8" s="81" t="s">
        <v>292</v>
      </c>
      <c r="I8" s="82" t="s">
        <v>292</v>
      </c>
      <c r="J8" s="179" t="s">
        <v>115</v>
      </c>
      <c r="K8" s="179" t="s">
        <v>115</v>
      </c>
      <c r="L8" s="179" t="s">
        <v>115</v>
      </c>
      <c r="M8" s="179" t="s">
        <v>115</v>
      </c>
      <c r="N8" s="179" t="s">
        <v>115</v>
      </c>
      <c r="O8" s="179" t="s">
        <v>115</v>
      </c>
      <c r="P8" s="180" t="s">
        <v>115</v>
      </c>
    </row>
    <row r="9" spans="1:16" x14ac:dyDescent="0.25">
      <c r="B9" s="51" t="s">
        <v>45</v>
      </c>
      <c r="C9" s="80" t="s">
        <v>371</v>
      </c>
      <c r="D9" s="81" t="s">
        <v>372</v>
      </c>
      <c r="E9" s="81" t="s">
        <v>373</v>
      </c>
      <c r="F9" s="81" t="s">
        <v>336</v>
      </c>
      <c r="G9" s="81" t="s">
        <v>374</v>
      </c>
      <c r="H9" s="81" t="s">
        <v>372</v>
      </c>
      <c r="I9" s="82" t="s">
        <v>373</v>
      </c>
      <c r="J9" s="179" t="s">
        <v>115</v>
      </c>
      <c r="K9" s="179" t="s">
        <v>115</v>
      </c>
      <c r="L9" s="179" t="s">
        <v>115</v>
      </c>
      <c r="M9" s="179" t="s">
        <v>115</v>
      </c>
      <c r="N9" s="179" t="s">
        <v>115</v>
      </c>
      <c r="O9" s="179" t="s">
        <v>115</v>
      </c>
      <c r="P9" s="180" t="s">
        <v>115</v>
      </c>
    </row>
    <row r="10" spans="1:16" x14ac:dyDescent="0.25">
      <c r="B10" s="51" t="s">
        <v>40</v>
      </c>
      <c r="C10" s="80" t="s">
        <v>169</v>
      </c>
      <c r="D10" s="81" t="s">
        <v>116</v>
      </c>
      <c r="E10" s="81" t="s">
        <v>204</v>
      </c>
      <c r="F10" s="81" t="s">
        <v>375</v>
      </c>
      <c r="G10" s="81" t="s">
        <v>344</v>
      </c>
      <c r="H10" s="81" t="s">
        <v>376</v>
      </c>
      <c r="I10" s="82" t="s">
        <v>377</v>
      </c>
      <c r="J10" s="179" t="s">
        <v>115</v>
      </c>
      <c r="K10" s="179" t="s">
        <v>115</v>
      </c>
      <c r="L10" s="179" t="s">
        <v>115</v>
      </c>
      <c r="M10" s="179" t="s">
        <v>115</v>
      </c>
      <c r="N10" s="179" t="s">
        <v>115</v>
      </c>
      <c r="O10" s="179" t="s">
        <v>115</v>
      </c>
      <c r="P10" s="180" t="s">
        <v>115</v>
      </c>
    </row>
    <row r="11" spans="1:16" x14ac:dyDescent="0.25">
      <c r="B11" s="51" t="s">
        <v>54</v>
      </c>
      <c r="C11" s="80" t="s">
        <v>214</v>
      </c>
      <c r="D11" s="81" t="s">
        <v>295</v>
      </c>
      <c r="E11" s="81" t="s">
        <v>344</v>
      </c>
      <c r="F11" s="81" t="s">
        <v>116</v>
      </c>
      <c r="G11" s="81" t="s">
        <v>117</v>
      </c>
      <c r="H11" s="81" t="s">
        <v>271</v>
      </c>
      <c r="I11" s="82" t="s">
        <v>375</v>
      </c>
      <c r="J11" s="179" t="s">
        <v>115</v>
      </c>
      <c r="K11" s="179" t="s">
        <v>115</v>
      </c>
      <c r="L11" s="179" t="s">
        <v>115</v>
      </c>
      <c r="M11" s="179" t="s">
        <v>115</v>
      </c>
      <c r="N11" s="179" t="s">
        <v>115</v>
      </c>
      <c r="O11" s="179" t="s">
        <v>115</v>
      </c>
      <c r="P11" s="180" t="s">
        <v>115</v>
      </c>
    </row>
    <row r="12" spans="1:16" x14ac:dyDescent="0.25">
      <c r="B12" s="51" t="s">
        <v>27</v>
      </c>
      <c r="C12" s="80" t="s">
        <v>378</v>
      </c>
      <c r="D12" s="81" t="s">
        <v>358</v>
      </c>
      <c r="E12" s="81" t="s">
        <v>215</v>
      </c>
      <c r="F12" s="81" t="s">
        <v>213</v>
      </c>
      <c r="G12" s="81" t="s">
        <v>116</v>
      </c>
      <c r="H12" s="81" t="s">
        <v>213</v>
      </c>
      <c r="I12" s="82" t="s">
        <v>117</v>
      </c>
      <c r="J12" s="179" t="s">
        <v>115</v>
      </c>
      <c r="K12" s="179" t="s">
        <v>115</v>
      </c>
      <c r="L12" s="179" t="s">
        <v>115</v>
      </c>
      <c r="M12" s="179" t="s">
        <v>115</v>
      </c>
      <c r="N12" s="179" t="s">
        <v>115</v>
      </c>
      <c r="O12" s="179" t="s">
        <v>115</v>
      </c>
      <c r="P12" s="180" t="s">
        <v>115</v>
      </c>
    </row>
    <row r="13" spans="1:16" x14ac:dyDescent="0.25">
      <c r="B13" s="51" t="s">
        <v>36</v>
      </c>
      <c r="C13" s="80" t="s">
        <v>295</v>
      </c>
      <c r="D13" s="81" t="s">
        <v>377</v>
      </c>
      <c r="E13" s="81" t="s">
        <v>375</v>
      </c>
      <c r="F13" s="81" t="s">
        <v>344</v>
      </c>
      <c r="G13" s="81" t="s">
        <v>376</v>
      </c>
      <c r="H13" s="81" t="s">
        <v>377</v>
      </c>
      <c r="I13" s="82" t="s">
        <v>216</v>
      </c>
      <c r="J13" s="179" t="s">
        <v>115</v>
      </c>
      <c r="K13" s="179" t="s">
        <v>115</v>
      </c>
      <c r="L13" s="179" t="s">
        <v>115</v>
      </c>
      <c r="M13" s="179" t="s">
        <v>115</v>
      </c>
      <c r="N13" s="179" t="s">
        <v>115</v>
      </c>
      <c r="O13" s="179" t="s">
        <v>115</v>
      </c>
      <c r="P13" s="180" t="s">
        <v>115</v>
      </c>
    </row>
    <row r="14" spans="1:16" x14ac:dyDescent="0.25">
      <c r="B14" s="51" t="s">
        <v>37</v>
      </c>
      <c r="C14" s="80" t="s">
        <v>204</v>
      </c>
      <c r="D14" s="81" t="s">
        <v>141</v>
      </c>
      <c r="E14" s="81" t="s">
        <v>379</v>
      </c>
      <c r="F14" s="81" t="s">
        <v>179</v>
      </c>
      <c r="G14" s="81" t="s">
        <v>213</v>
      </c>
      <c r="H14" s="81" t="s">
        <v>179</v>
      </c>
      <c r="I14" s="82" t="s">
        <v>271</v>
      </c>
      <c r="J14" s="179" t="s">
        <v>115</v>
      </c>
      <c r="K14" s="179" t="s">
        <v>115</v>
      </c>
      <c r="L14" s="179" t="s">
        <v>115</v>
      </c>
      <c r="M14" s="179" t="s">
        <v>115</v>
      </c>
      <c r="N14" s="179" t="s">
        <v>115</v>
      </c>
      <c r="O14" s="179" t="s">
        <v>115</v>
      </c>
      <c r="P14" s="180" t="s">
        <v>115</v>
      </c>
    </row>
    <row r="15" spans="1:16" x14ac:dyDescent="0.25">
      <c r="B15" s="51" t="s">
        <v>44</v>
      </c>
      <c r="C15" s="80" t="s">
        <v>142</v>
      </c>
      <c r="D15" s="81" t="s">
        <v>380</v>
      </c>
      <c r="E15" s="81" t="s">
        <v>142</v>
      </c>
      <c r="F15" s="81" t="s">
        <v>262</v>
      </c>
      <c r="G15" s="81" t="s">
        <v>275</v>
      </c>
      <c r="H15" s="81" t="s">
        <v>381</v>
      </c>
      <c r="I15" s="82" t="s">
        <v>215</v>
      </c>
      <c r="J15" s="179" t="s">
        <v>115</v>
      </c>
      <c r="K15" s="179" t="s">
        <v>115</v>
      </c>
      <c r="L15" s="179" t="s">
        <v>115</v>
      </c>
      <c r="M15" s="179" t="s">
        <v>115</v>
      </c>
      <c r="N15" s="179" t="s">
        <v>115</v>
      </c>
      <c r="O15" s="179" t="s">
        <v>115</v>
      </c>
      <c r="P15" s="180" t="s">
        <v>115</v>
      </c>
    </row>
    <row r="16" spans="1:16" x14ac:dyDescent="0.25">
      <c r="B16" s="51" t="s">
        <v>28</v>
      </c>
      <c r="C16" s="80" t="s">
        <v>341</v>
      </c>
      <c r="D16" s="81" t="s">
        <v>379</v>
      </c>
      <c r="E16" s="81" t="s">
        <v>299</v>
      </c>
      <c r="F16" s="81" t="s">
        <v>341</v>
      </c>
      <c r="G16" s="81" t="s">
        <v>281</v>
      </c>
      <c r="H16" s="81" t="s">
        <v>281</v>
      </c>
      <c r="I16" s="82" t="s">
        <v>142</v>
      </c>
      <c r="J16" s="179" t="s">
        <v>115</v>
      </c>
      <c r="K16" s="179" t="s">
        <v>115</v>
      </c>
      <c r="L16" s="179" t="s">
        <v>115</v>
      </c>
      <c r="M16" s="179" t="s">
        <v>115</v>
      </c>
      <c r="N16" s="179" t="s">
        <v>115</v>
      </c>
      <c r="O16" s="179" t="s">
        <v>115</v>
      </c>
      <c r="P16" s="180" t="s">
        <v>115</v>
      </c>
    </row>
    <row r="17" spans="2:16" x14ac:dyDescent="0.25">
      <c r="B17" s="51" t="s">
        <v>18</v>
      </c>
      <c r="C17" s="80" t="s">
        <v>382</v>
      </c>
      <c r="D17" s="81" t="s">
        <v>383</v>
      </c>
      <c r="E17" s="81" t="s">
        <v>332</v>
      </c>
      <c r="F17" s="81" t="s">
        <v>384</v>
      </c>
      <c r="G17" s="81" t="s">
        <v>384</v>
      </c>
      <c r="H17" s="81" t="s">
        <v>199</v>
      </c>
      <c r="I17" s="82" t="s">
        <v>206</v>
      </c>
      <c r="J17" s="179" t="s">
        <v>115</v>
      </c>
      <c r="K17" s="179" t="s">
        <v>115</v>
      </c>
      <c r="L17" s="179" t="s">
        <v>115</v>
      </c>
      <c r="M17" s="179" t="s">
        <v>115</v>
      </c>
      <c r="N17" s="179" t="s">
        <v>115</v>
      </c>
      <c r="O17" s="179" t="s">
        <v>115</v>
      </c>
      <c r="P17" s="180" t="s">
        <v>115</v>
      </c>
    </row>
    <row r="18" spans="2:16" x14ac:dyDescent="0.25">
      <c r="B18" s="51" t="s">
        <v>49</v>
      </c>
      <c r="C18" s="80" t="s">
        <v>322</v>
      </c>
      <c r="D18" s="81" t="s">
        <v>332</v>
      </c>
      <c r="E18" s="81" t="s">
        <v>191</v>
      </c>
      <c r="F18" s="81" t="s">
        <v>212</v>
      </c>
      <c r="G18" s="81" t="s">
        <v>199</v>
      </c>
      <c r="H18" s="81" t="s">
        <v>385</v>
      </c>
      <c r="I18" s="82" t="s">
        <v>386</v>
      </c>
      <c r="J18" s="179" t="s">
        <v>115</v>
      </c>
      <c r="K18" s="179" t="s">
        <v>115</v>
      </c>
      <c r="L18" s="179" t="s">
        <v>115</v>
      </c>
      <c r="M18" s="179" t="s">
        <v>115</v>
      </c>
      <c r="N18" s="179" t="s">
        <v>115</v>
      </c>
      <c r="O18" s="179" t="s">
        <v>115</v>
      </c>
      <c r="P18" s="180" t="s">
        <v>115</v>
      </c>
    </row>
    <row r="19" spans="2:16" x14ac:dyDescent="0.25">
      <c r="B19" s="51" t="s">
        <v>34</v>
      </c>
      <c r="C19" s="80" t="s">
        <v>387</v>
      </c>
      <c r="D19" s="81" t="s">
        <v>191</v>
      </c>
      <c r="E19" s="81" t="s">
        <v>217</v>
      </c>
      <c r="F19" s="81" t="s">
        <v>322</v>
      </c>
      <c r="G19" s="81" t="s">
        <v>385</v>
      </c>
      <c r="H19" s="81" t="s">
        <v>388</v>
      </c>
      <c r="I19" s="82" t="s">
        <v>158</v>
      </c>
      <c r="J19" s="179" t="s">
        <v>115</v>
      </c>
      <c r="K19" s="179" t="s">
        <v>115</v>
      </c>
      <c r="L19" s="179" t="s">
        <v>115</v>
      </c>
      <c r="M19" s="179" t="s">
        <v>115</v>
      </c>
      <c r="N19" s="179" t="s">
        <v>115</v>
      </c>
      <c r="O19" s="179" t="s">
        <v>115</v>
      </c>
      <c r="P19" s="180" t="s">
        <v>115</v>
      </c>
    </row>
    <row r="20" spans="2:16" x14ac:dyDescent="0.25">
      <c r="B20" s="51" t="s">
        <v>47</v>
      </c>
      <c r="C20" s="80" t="s">
        <v>200</v>
      </c>
      <c r="D20" s="81" t="s">
        <v>389</v>
      </c>
      <c r="E20" s="81" t="s">
        <v>218</v>
      </c>
      <c r="F20" s="81" t="s">
        <v>390</v>
      </c>
      <c r="G20" s="81" t="s">
        <v>189</v>
      </c>
      <c r="H20" s="81" t="s">
        <v>220</v>
      </c>
      <c r="I20" s="82" t="s">
        <v>391</v>
      </c>
      <c r="J20" s="179" t="s">
        <v>115</v>
      </c>
      <c r="K20" s="179" t="s">
        <v>115</v>
      </c>
      <c r="L20" s="179" t="s">
        <v>115</v>
      </c>
      <c r="M20" s="179" t="s">
        <v>115</v>
      </c>
      <c r="N20" s="179" t="s">
        <v>115</v>
      </c>
      <c r="O20" s="179" t="s">
        <v>115</v>
      </c>
      <c r="P20" s="180" t="s">
        <v>115</v>
      </c>
    </row>
    <row r="21" spans="2:16" x14ac:dyDescent="0.25">
      <c r="B21" s="51" t="s">
        <v>32</v>
      </c>
      <c r="C21" s="80" t="s">
        <v>392</v>
      </c>
      <c r="D21" s="81" t="s">
        <v>122</v>
      </c>
      <c r="E21" s="81" t="s">
        <v>393</v>
      </c>
      <c r="F21" s="81" t="s">
        <v>184</v>
      </c>
      <c r="G21" s="81" t="s">
        <v>394</v>
      </c>
      <c r="H21" s="81" t="s">
        <v>389</v>
      </c>
      <c r="I21" s="82" t="s">
        <v>185</v>
      </c>
      <c r="J21" s="179" t="s">
        <v>115</v>
      </c>
      <c r="K21" s="179" t="s">
        <v>115</v>
      </c>
      <c r="L21" s="179" t="s">
        <v>115</v>
      </c>
      <c r="M21" s="179" t="s">
        <v>115</v>
      </c>
      <c r="N21" s="179" t="s">
        <v>115</v>
      </c>
      <c r="O21" s="179" t="s">
        <v>115</v>
      </c>
      <c r="P21" s="180" t="s">
        <v>115</v>
      </c>
    </row>
    <row r="22" spans="2:16" x14ac:dyDescent="0.25">
      <c r="B22" s="51" t="s">
        <v>39</v>
      </c>
      <c r="C22" s="80" t="s">
        <v>189</v>
      </c>
      <c r="D22" s="81" t="s">
        <v>197</v>
      </c>
      <c r="E22" s="81" t="s">
        <v>197</v>
      </c>
      <c r="F22" s="81" t="s">
        <v>235</v>
      </c>
      <c r="G22" s="81" t="s">
        <v>208</v>
      </c>
      <c r="H22" s="81" t="s">
        <v>221</v>
      </c>
      <c r="I22" s="82" t="s">
        <v>393</v>
      </c>
      <c r="J22" s="179" t="s">
        <v>115</v>
      </c>
      <c r="K22" s="179" t="s">
        <v>115</v>
      </c>
      <c r="L22" s="179" t="s">
        <v>115</v>
      </c>
      <c r="M22" s="179" t="s">
        <v>115</v>
      </c>
      <c r="N22" s="179" t="s">
        <v>115</v>
      </c>
      <c r="O22" s="179" t="s">
        <v>115</v>
      </c>
      <c r="P22" s="180" t="s">
        <v>115</v>
      </c>
    </row>
    <row r="23" spans="2:16" x14ac:dyDescent="0.25">
      <c r="B23" s="51" t="s">
        <v>50</v>
      </c>
      <c r="C23" s="80" t="s">
        <v>197</v>
      </c>
      <c r="D23" s="81" t="s">
        <v>390</v>
      </c>
      <c r="E23" s="81" t="s">
        <v>390</v>
      </c>
      <c r="F23" s="81" t="s">
        <v>394</v>
      </c>
      <c r="G23" s="81" t="s">
        <v>222</v>
      </c>
      <c r="H23" s="81" t="s">
        <v>394</v>
      </c>
      <c r="I23" s="82" t="s">
        <v>394</v>
      </c>
      <c r="J23" s="179" t="s">
        <v>115</v>
      </c>
      <c r="K23" s="179" t="s">
        <v>115</v>
      </c>
      <c r="L23" s="179" t="s">
        <v>115</v>
      </c>
      <c r="M23" s="179" t="s">
        <v>115</v>
      </c>
      <c r="N23" s="179" t="s">
        <v>115</v>
      </c>
      <c r="O23" s="179" t="s">
        <v>115</v>
      </c>
      <c r="P23" s="180" t="s">
        <v>115</v>
      </c>
    </row>
    <row r="24" spans="2:16" x14ac:dyDescent="0.25">
      <c r="B24" s="51" t="s">
        <v>31</v>
      </c>
      <c r="C24" s="80" t="s">
        <v>324</v>
      </c>
      <c r="D24" s="81" t="s">
        <v>218</v>
      </c>
      <c r="E24" s="81" t="s">
        <v>184</v>
      </c>
      <c r="F24" s="81" t="s">
        <v>393</v>
      </c>
      <c r="G24" s="81" t="s">
        <v>219</v>
      </c>
      <c r="H24" s="81" t="s">
        <v>190</v>
      </c>
      <c r="I24" s="82" t="s">
        <v>390</v>
      </c>
      <c r="J24" s="179" t="s">
        <v>115</v>
      </c>
      <c r="K24" s="179" t="s">
        <v>115</v>
      </c>
      <c r="L24" s="179" t="s">
        <v>115</v>
      </c>
      <c r="M24" s="179" t="s">
        <v>115</v>
      </c>
      <c r="N24" s="179" t="s">
        <v>115</v>
      </c>
      <c r="O24" s="179" t="s">
        <v>115</v>
      </c>
      <c r="P24" s="180" t="s">
        <v>115</v>
      </c>
    </row>
    <row r="25" spans="2:16" x14ac:dyDescent="0.25">
      <c r="B25" s="51" t="s">
        <v>56</v>
      </c>
      <c r="C25" s="80" t="s">
        <v>395</v>
      </c>
      <c r="D25" s="81" t="s">
        <v>396</v>
      </c>
      <c r="E25" s="81" t="s">
        <v>397</v>
      </c>
      <c r="F25" s="81" t="s">
        <v>398</v>
      </c>
      <c r="G25" s="81" t="s">
        <v>399</v>
      </c>
      <c r="H25" s="81" t="s">
        <v>400</v>
      </c>
      <c r="I25" s="82" t="s">
        <v>392</v>
      </c>
      <c r="J25" s="179" t="s">
        <v>115</v>
      </c>
      <c r="K25" s="179" t="s">
        <v>115</v>
      </c>
      <c r="L25" s="179" t="s">
        <v>115</v>
      </c>
      <c r="M25" s="179" t="s">
        <v>115</v>
      </c>
      <c r="N25" s="179" t="s">
        <v>115</v>
      </c>
      <c r="O25" s="179" t="s">
        <v>115</v>
      </c>
      <c r="P25" s="180" t="s">
        <v>115</v>
      </c>
    </row>
    <row r="26" spans="2:16" x14ac:dyDescent="0.25">
      <c r="B26" s="51" t="s">
        <v>42</v>
      </c>
      <c r="C26" s="80" t="s">
        <v>398</v>
      </c>
      <c r="D26" s="81" t="s">
        <v>227</v>
      </c>
      <c r="E26" s="81" t="s">
        <v>401</v>
      </c>
      <c r="F26" s="81" t="s">
        <v>402</v>
      </c>
      <c r="G26" s="81" t="s">
        <v>403</v>
      </c>
      <c r="H26" s="81" t="s">
        <v>398</v>
      </c>
      <c r="I26" s="82" t="s">
        <v>400</v>
      </c>
      <c r="J26" s="179" t="s">
        <v>115</v>
      </c>
      <c r="K26" s="179" t="s">
        <v>115</v>
      </c>
      <c r="L26" s="179" t="s">
        <v>115</v>
      </c>
      <c r="M26" s="179" t="s">
        <v>115</v>
      </c>
      <c r="N26" s="179" t="s">
        <v>115</v>
      </c>
      <c r="O26" s="179" t="s">
        <v>115</v>
      </c>
      <c r="P26" s="180" t="s">
        <v>115</v>
      </c>
    </row>
    <row r="27" spans="2:16" x14ac:dyDescent="0.25">
      <c r="B27" s="51" t="s">
        <v>43</v>
      </c>
      <c r="C27" s="80" t="s">
        <v>390</v>
      </c>
      <c r="D27" s="81" t="s">
        <v>404</v>
      </c>
      <c r="E27" s="81" t="s">
        <v>404</v>
      </c>
      <c r="F27" s="81" t="s">
        <v>405</v>
      </c>
      <c r="G27" s="81" t="s">
        <v>392</v>
      </c>
      <c r="H27" s="81" t="s">
        <v>405</v>
      </c>
      <c r="I27" s="82" t="s">
        <v>397</v>
      </c>
      <c r="J27" s="179" t="s">
        <v>115</v>
      </c>
      <c r="K27" s="179" t="s">
        <v>115</v>
      </c>
      <c r="L27" s="179" t="s">
        <v>115</v>
      </c>
      <c r="M27" s="179" t="s">
        <v>115</v>
      </c>
      <c r="N27" s="179" t="s">
        <v>115</v>
      </c>
      <c r="O27" s="179" t="s">
        <v>115</v>
      </c>
      <c r="P27" s="180" t="s">
        <v>115</v>
      </c>
    </row>
    <row r="28" spans="2:16" x14ac:dyDescent="0.25">
      <c r="B28" s="51" t="s">
        <v>46</v>
      </c>
      <c r="C28" s="80" t="s">
        <v>402</v>
      </c>
      <c r="D28" s="81" t="s">
        <v>223</v>
      </c>
      <c r="E28" s="81" t="s">
        <v>400</v>
      </c>
      <c r="F28" s="81" t="s">
        <v>397</v>
      </c>
      <c r="G28" s="81" t="s">
        <v>224</v>
      </c>
      <c r="H28" s="81" t="s">
        <v>397</v>
      </c>
      <c r="I28" s="82" t="s">
        <v>398</v>
      </c>
      <c r="J28" s="179" t="s">
        <v>115</v>
      </c>
      <c r="K28" s="179" t="s">
        <v>115</v>
      </c>
      <c r="L28" s="179" t="s">
        <v>115</v>
      </c>
      <c r="M28" s="179" t="s">
        <v>115</v>
      </c>
      <c r="N28" s="179" t="s">
        <v>115</v>
      </c>
      <c r="O28" s="179" t="s">
        <v>115</v>
      </c>
      <c r="P28" s="180" t="s">
        <v>115</v>
      </c>
    </row>
    <row r="29" spans="2:16" x14ac:dyDescent="0.25">
      <c r="B29" s="51" t="s">
        <v>30</v>
      </c>
      <c r="C29" s="80" t="s">
        <v>406</v>
      </c>
      <c r="D29" s="81" t="s">
        <v>407</v>
      </c>
      <c r="E29" s="81" t="s">
        <v>408</v>
      </c>
      <c r="F29" s="81" t="s">
        <v>409</v>
      </c>
      <c r="G29" s="81" t="s">
        <v>410</v>
      </c>
      <c r="H29" s="81" t="s">
        <v>395</v>
      </c>
      <c r="I29" s="82" t="s">
        <v>407</v>
      </c>
      <c r="J29" s="179" t="s">
        <v>115</v>
      </c>
      <c r="K29" s="179" t="s">
        <v>115</v>
      </c>
      <c r="L29" s="179" t="s">
        <v>115</v>
      </c>
      <c r="M29" s="179" t="s">
        <v>115</v>
      </c>
      <c r="N29" s="179" t="s">
        <v>115</v>
      </c>
      <c r="O29" s="179" t="s">
        <v>115</v>
      </c>
      <c r="P29" s="180" t="s">
        <v>115</v>
      </c>
    </row>
    <row r="30" spans="2:16" x14ac:dyDescent="0.25">
      <c r="B30" s="51" t="s">
        <v>38</v>
      </c>
      <c r="C30" s="80" t="s">
        <v>411</v>
      </c>
      <c r="D30" s="81" t="s">
        <v>412</v>
      </c>
      <c r="E30" s="81" t="s">
        <v>412</v>
      </c>
      <c r="F30" s="81" t="s">
        <v>412</v>
      </c>
      <c r="G30" s="81" t="s">
        <v>406</v>
      </c>
      <c r="H30" s="81" t="s">
        <v>406</v>
      </c>
      <c r="I30" s="82" t="s">
        <v>413</v>
      </c>
      <c r="J30" s="179" t="s">
        <v>115</v>
      </c>
      <c r="K30" s="179" t="s">
        <v>115</v>
      </c>
      <c r="L30" s="179" t="s">
        <v>115</v>
      </c>
      <c r="M30" s="179" t="s">
        <v>115</v>
      </c>
      <c r="N30" s="179" t="s">
        <v>115</v>
      </c>
      <c r="O30" s="179" t="s">
        <v>115</v>
      </c>
      <c r="P30" s="180" t="s">
        <v>115</v>
      </c>
    </row>
    <row r="31" spans="2:16" x14ac:dyDescent="0.25">
      <c r="B31" s="51" t="s">
        <v>41</v>
      </c>
      <c r="C31" s="80" t="s">
        <v>224</v>
      </c>
      <c r="D31" s="81" t="s">
        <v>414</v>
      </c>
      <c r="E31" s="81" t="s">
        <v>398</v>
      </c>
      <c r="F31" s="81" t="s">
        <v>396</v>
      </c>
      <c r="G31" s="81" t="s">
        <v>409</v>
      </c>
      <c r="H31" s="81" t="s">
        <v>408</v>
      </c>
      <c r="I31" s="82" t="s">
        <v>396</v>
      </c>
      <c r="J31" s="179" t="s">
        <v>115</v>
      </c>
      <c r="K31" s="179" t="s">
        <v>115</v>
      </c>
      <c r="L31" s="179" t="s">
        <v>115</v>
      </c>
      <c r="M31" s="179" t="s">
        <v>115</v>
      </c>
      <c r="N31" s="179" t="s">
        <v>115</v>
      </c>
      <c r="O31" s="179" t="s">
        <v>115</v>
      </c>
      <c r="P31" s="180" t="s">
        <v>115</v>
      </c>
    </row>
    <row r="32" spans="2:16" x14ac:dyDescent="0.25">
      <c r="B32" s="51" t="s">
        <v>29</v>
      </c>
      <c r="C32" s="80" t="s">
        <v>415</v>
      </c>
      <c r="D32" s="81" t="s">
        <v>416</v>
      </c>
      <c r="E32" s="81" t="s">
        <v>417</v>
      </c>
      <c r="F32" s="81" t="s">
        <v>418</v>
      </c>
      <c r="G32" s="81" t="s">
        <v>419</v>
      </c>
      <c r="H32" s="81" t="s">
        <v>420</v>
      </c>
      <c r="I32" s="82" t="s">
        <v>421</v>
      </c>
      <c r="J32" s="179" t="s">
        <v>115</v>
      </c>
      <c r="K32" s="179" t="s">
        <v>115</v>
      </c>
      <c r="L32" s="179" t="s">
        <v>115</v>
      </c>
      <c r="M32" s="179" t="s">
        <v>115</v>
      </c>
      <c r="N32" s="179" t="s">
        <v>115</v>
      </c>
      <c r="O32" s="179" t="s">
        <v>115</v>
      </c>
      <c r="P32" s="180" t="s">
        <v>115</v>
      </c>
    </row>
    <row r="33" spans="2:16" x14ac:dyDescent="0.25">
      <c r="B33" s="57" t="s">
        <v>48</v>
      </c>
      <c r="C33" s="83" t="s">
        <v>422</v>
      </c>
      <c r="D33" s="84" t="s">
        <v>423</v>
      </c>
      <c r="E33" s="84" t="s">
        <v>424</v>
      </c>
      <c r="F33" s="84" t="s">
        <v>419</v>
      </c>
      <c r="G33" s="84" t="s">
        <v>425</v>
      </c>
      <c r="H33" s="84" t="s">
        <v>426</v>
      </c>
      <c r="I33" s="85" t="s">
        <v>426</v>
      </c>
      <c r="J33" s="181" t="s">
        <v>115</v>
      </c>
      <c r="K33" s="181" t="s">
        <v>115</v>
      </c>
      <c r="L33" s="181" t="s">
        <v>115</v>
      </c>
      <c r="M33" s="181" t="s">
        <v>115</v>
      </c>
      <c r="N33" s="181" t="s">
        <v>115</v>
      </c>
      <c r="O33" s="181" t="s">
        <v>115</v>
      </c>
      <c r="P33" s="182" t="s">
        <v>115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ddlMetric">
              <controlPr defaultSize="0" autoLine="0" autoPict="0" macro="[0]!MetricChange">
                <anchor moveWithCells="1">
                  <from>
                    <xdr:col>0</xdr:col>
                    <xdr:colOff>0</xdr:colOff>
                    <xdr:row>4</xdr:row>
                    <xdr:rowOff>9525</xdr:rowOff>
                  </from>
                  <to>
                    <xdr:col>0</xdr:col>
                    <xdr:colOff>1447800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 tint="-0.14999847407452621"/>
  </sheetPr>
  <dimension ref="A1:S30"/>
  <sheetViews>
    <sheetView zoomScale="85" workbookViewId="0">
      <pane xSplit="2" topLeftCell="C1" activePane="topRight" state="frozen"/>
      <selection activeCell="H50" sqref="H50"/>
      <selection pane="topRight" activeCell="N14" sqref="N14:N24"/>
    </sheetView>
  </sheetViews>
  <sheetFormatPr defaultColWidth="12.42578125" defaultRowHeight="12.75" x14ac:dyDescent="0.2"/>
  <cols>
    <col min="1" max="16384" width="12.42578125" style="97"/>
  </cols>
  <sheetData>
    <row r="1" spans="1:19" x14ac:dyDescent="0.2">
      <c r="A1" s="96" t="s">
        <v>123</v>
      </c>
    </row>
    <row r="2" spans="1:19" ht="77.25" x14ac:dyDescent="0.25">
      <c r="A2" s="98" t="s">
        <v>124</v>
      </c>
      <c r="B2" s="99" t="s">
        <v>125</v>
      </c>
      <c r="C2" s="99" t="s">
        <v>126</v>
      </c>
      <c r="D2" s="99" t="s">
        <v>127</v>
      </c>
      <c r="E2" s="99" t="s">
        <v>128</v>
      </c>
      <c r="F2" s="99" t="s">
        <v>129</v>
      </c>
      <c r="G2" s="99" t="s">
        <v>651</v>
      </c>
      <c r="H2" s="99" t="s">
        <v>136</v>
      </c>
      <c r="I2" s="99" t="s">
        <v>130</v>
      </c>
      <c r="J2" s="99" t="s">
        <v>131</v>
      </c>
      <c r="P2" s="10" t="s">
        <v>132</v>
      </c>
      <c r="Q2" s="10"/>
      <c r="S2" s="96" t="s">
        <v>133</v>
      </c>
    </row>
    <row r="3" spans="1:19" ht="15" x14ac:dyDescent="0.25">
      <c r="A3" s="100" t="s">
        <v>33</v>
      </c>
      <c r="B3" s="101">
        <v>10.160104230365947</v>
      </c>
      <c r="C3" s="101">
        <v>8.7652333225801708</v>
      </c>
      <c r="D3" s="101">
        <v>7.6667474139262533</v>
      </c>
      <c r="E3" s="101">
        <v>11.111111111111111</v>
      </c>
      <c r="F3" s="101">
        <v>7.8690536885466322</v>
      </c>
      <c r="G3" s="101">
        <v>8.0319736410442939</v>
      </c>
      <c r="H3" s="101">
        <v>10.472020166416119</v>
      </c>
      <c r="I3" s="101">
        <v>4.8812935085377847</v>
      </c>
      <c r="J3" s="101">
        <v>10.909596403938467</v>
      </c>
      <c r="K3" s="97">
        <f t="shared" ref="K3:K30" si="0">VLOOKUP($A3,tblEIB,22,0)</f>
        <v>79.867133486466784</v>
      </c>
      <c r="P3" s="102">
        <v>1</v>
      </c>
      <c r="Q3" s="103">
        <v>2010</v>
      </c>
      <c r="S3" s="104">
        <v>6</v>
      </c>
    </row>
    <row r="4" spans="1:19" ht="15" x14ac:dyDescent="0.25">
      <c r="A4" s="100" t="s">
        <v>35</v>
      </c>
      <c r="B4" s="101">
        <v>10.950726101874718</v>
      </c>
      <c r="C4" s="101">
        <v>9.1750778291443638</v>
      </c>
      <c r="D4" s="101">
        <v>8.6817326507637329</v>
      </c>
      <c r="E4" s="101">
        <v>9.5405268765323026</v>
      </c>
      <c r="F4" s="101">
        <v>11.111111111111111</v>
      </c>
      <c r="G4" s="101">
        <v>9.1640504801248586</v>
      </c>
      <c r="H4" s="101">
        <v>7.3733142008026578</v>
      </c>
      <c r="I4" s="101">
        <v>3.3872452316926553</v>
      </c>
      <c r="J4" s="101">
        <v>10.285608292576462</v>
      </c>
      <c r="K4" s="97">
        <f t="shared" si="0"/>
        <v>79.669392774622864</v>
      </c>
      <c r="P4" s="105">
        <v>2</v>
      </c>
      <c r="Q4" s="106">
        <v>2011</v>
      </c>
    </row>
    <row r="5" spans="1:19" ht="15" x14ac:dyDescent="0.25">
      <c r="A5" s="100" t="s">
        <v>51</v>
      </c>
      <c r="B5" s="101">
        <v>10.919101227014366</v>
      </c>
      <c r="C5" s="101">
        <v>9.244876186425687</v>
      </c>
      <c r="D5" s="101">
        <v>4.5620866894822036</v>
      </c>
      <c r="E5" s="101">
        <v>10.564104907650425</v>
      </c>
      <c r="F5" s="101">
        <v>10.151609765765421</v>
      </c>
      <c r="G5" s="101">
        <v>8.5980120605845762</v>
      </c>
      <c r="H5" s="101">
        <v>6.5441584028213704</v>
      </c>
      <c r="I5" s="101">
        <v>6.2395192147606302</v>
      </c>
      <c r="J5" s="101">
        <v>10.441605320416963</v>
      </c>
      <c r="K5" s="97">
        <f t="shared" si="0"/>
        <v>77.265073774921632</v>
      </c>
      <c r="P5" s="105">
        <v>3</v>
      </c>
      <c r="Q5" s="106">
        <v>2012</v>
      </c>
    </row>
    <row r="6" spans="1:19" ht="15" x14ac:dyDescent="0.25">
      <c r="A6" s="100" t="s">
        <v>45</v>
      </c>
      <c r="B6" s="101">
        <v>6.7446177454480578</v>
      </c>
      <c r="C6" s="101">
        <v>8.3210513487771927</v>
      </c>
      <c r="D6" s="101">
        <v>1.4574259650381525</v>
      </c>
      <c r="E6" s="101">
        <v>8.8432645142582604</v>
      </c>
      <c r="F6" s="101">
        <v>7.1567656570685818</v>
      </c>
      <c r="G6" s="101">
        <v>10.862165738745709</v>
      </c>
      <c r="H6" s="101">
        <v>7.1209487039822204</v>
      </c>
      <c r="I6" s="101">
        <v>8.4579545349246121</v>
      </c>
      <c r="J6" s="101">
        <v>9.505623153373957</v>
      </c>
      <c r="K6" s="97">
        <f t="shared" si="0"/>
        <v>68.469817361616748</v>
      </c>
      <c r="P6" s="105">
        <v>4</v>
      </c>
      <c r="Q6" s="106">
        <v>2013</v>
      </c>
    </row>
    <row r="7" spans="1:19" x14ac:dyDescent="0.2">
      <c r="A7" s="100" t="s">
        <v>54</v>
      </c>
      <c r="B7" s="101">
        <v>5.6377471253357783</v>
      </c>
      <c r="C7" s="101">
        <v>5.3124258614074797</v>
      </c>
      <c r="D7" s="101">
        <v>9.517602845806362</v>
      </c>
      <c r="E7" s="101">
        <v>7.0536452421545714</v>
      </c>
      <c r="F7" s="101">
        <v>6.9432003992282763</v>
      </c>
      <c r="G7" s="101">
        <v>8.8810312703547183</v>
      </c>
      <c r="H7" s="101">
        <v>9.2707649984837008</v>
      </c>
      <c r="I7" s="101">
        <v>7.4619223503611902</v>
      </c>
      <c r="J7" s="101">
        <v>5.7616944852019323</v>
      </c>
      <c r="K7" s="97">
        <f t="shared" si="0"/>
        <v>65.840034578333999</v>
      </c>
      <c r="P7" s="97">
        <v>5</v>
      </c>
      <c r="Q7" s="97">
        <v>2014</v>
      </c>
    </row>
    <row r="8" spans="1:19" ht="15" x14ac:dyDescent="0.25">
      <c r="A8" s="100" t="s">
        <v>40</v>
      </c>
      <c r="B8" s="101">
        <v>5.4236249122726807</v>
      </c>
      <c r="C8" s="101">
        <v>5.6969195268987711</v>
      </c>
      <c r="D8" s="101">
        <v>8.6817326507637329</v>
      </c>
      <c r="E8" s="101">
        <v>7.0815183709006924</v>
      </c>
      <c r="F8" s="101">
        <v>8.69995861260022</v>
      </c>
      <c r="G8" s="101">
        <v>6.6168775921935854</v>
      </c>
      <c r="H8" s="101">
        <v>7.5542187179200182</v>
      </c>
      <c r="I8" s="101">
        <v>9.1370673880360336</v>
      </c>
      <c r="J8" s="101">
        <v>5.7616944852019323</v>
      </c>
      <c r="K8" s="97">
        <f t="shared" si="0"/>
        <v>64.653612256787653</v>
      </c>
      <c r="P8" s="107">
        <v>6</v>
      </c>
      <c r="Q8" s="108">
        <v>2015</v>
      </c>
    </row>
    <row r="9" spans="1:19" x14ac:dyDescent="0.2">
      <c r="A9" s="100" t="s">
        <v>27</v>
      </c>
      <c r="B9" s="101">
        <v>9.3694823588571765</v>
      </c>
      <c r="C9" s="101">
        <v>7.2621399413725136</v>
      </c>
      <c r="D9" s="101">
        <v>8.8011426786269666</v>
      </c>
      <c r="E9" s="101">
        <v>7.217348272530665</v>
      </c>
      <c r="F9" s="101">
        <v>5.1789979849343748</v>
      </c>
      <c r="G9" s="101">
        <v>6.3338583824234451</v>
      </c>
      <c r="H9" s="101">
        <v>5.693029980012259</v>
      </c>
      <c r="I9" s="101">
        <v>6.9186320678720534</v>
      </c>
      <c r="J9" s="101">
        <v>7.0096707079259399</v>
      </c>
      <c r="K9" s="97">
        <f t="shared" si="0"/>
        <v>63.784302374555395</v>
      </c>
    </row>
    <row r="10" spans="1:19" x14ac:dyDescent="0.2">
      <c r="A10" s="100" t="s">
        <v>36</v>
      </c>
      <c r="B10" s="101">
        <v>7.5352396169568294</v>
      </c>
      <c r="C10" s="101">
        <v>6.0187237747065341</v>
      </c>
      <c r="D10" s="101">
        <v>9.2190777761482803</v>
      </c>
      <c r="E10" s="101">
        <v>4.5435020762114595</v>
      </c>
      <c r="F10" s="101">
        <v>5.943243166899923</v>
      </c>
      <c r="G10" s="101">
        <v>5.7678199628831619</v>
      </c>
      <c r="H10" s="101">
        <v>6.6617781082728404</v>
      </c>
      <c r="I10" s="101">
        <v>9.7256318607325998</v>
      </c>
      <c r="J10" s="101">
        <v>7.7896558471284454</v>
      </c>
      <c r="K10" s="97">
        <f t="shared" si="0"/>
        <v>63.204672189940069</v>
      </c>
    </row>
    <row r="11" spans="1:19" x14ac:dyDescent="0.2">
      <c r="A11" s="100" t="s">
        <v>37</v>
      </c>
      <c r="B11" s="101">
        <v>9.4959818582985793</v>
      </c>
      <c r="C11" s="101">
        <v>9.0471784932453065</v>
      </c>
      <c r="D11" s="101">
        <v>6.0547120377726129</v>
      </c>
      <c r="E11" s="101">
        <v>5.3144785752043635</v>
      </c>
      <c r="F11" s="101">
        <v>6.023624675716432</v>
      </c>
      <c r="G11" s="101">
        <v>8.5980120605845762</v>
      </c>
      <c r="H11" s="101">
        <v>4.5025104101167965</v>
      </c>
      <c r="I11" s="101">
        <v>6.8280836874571964</v>
      </c>
      <c r="J11" s="101">
        <v>6.0736885408829338</v>
      </c>
      <c r="K11" s="97">
        <f t="shared" si="0"/>
        <v>61.938270339278787</v>
      </c>
    </row>
    <row r="12" spans="1:19" x14ac:dyDescent="0.2">
      <c r="A12" s="100" t="s">
        <v>44</v>
      </c>
      <c r="B12" s="101">
        <v>4.1513780068992894</v>
      </c>
      <c r="C12" s="101">
        <v>11.111111111111111</v>
      </c>
      <c r="D12" s="101">
        <v>0</v>
      </c>
      <c r="E12" s="101">
        <v>9.2605240207372166</v>
      </c>
      <c r="F12" s="101">
        <v>4.0151646733523867</v>
      </c>
      <c r="G12" s="101">
        <v>10.296127319205425</v>
      </c>
      <c r="H12" s="101">
        <v>2.0421570706923955</v>
      </c>
      <c r="I12" s="101">
        <v>9.3634383390731752</v>
      </c>
      <c r="J12" s="101">
        <v>8.2576469306499494</v>
      </c>
      <c r="K12" s="97">
        <f t="shared" si="0"/>
        <v>58.497547471720949</v>
      </c>
    </row>
    <row r="13" spans="1:19" x14ac:dyDescent="0.2">
      <c r="A13" s="100" t="s">
        <v>28</v>
      </c>
      <c r="B13" s="101">
        <v>7.6933639912585825</v>
      </c>
      <c r="C13" s="101">
        <v>5.9342402650260437</v>
      </c>
      <c r="D13" s="101">
        <v>3.5471014526447253</v>
      </c>
      <c r="E13" s="101">
        <v>7.5457830541987994</v>
      </c>
      <c r="F13" s="101">
        <v>6.3072435116177195</v>
      </c>
      <c r="G13" s="101">
        <v>6.8998968019637275</v>
      </c>
      <c r="H13" s="101">
        <v>8.198458599096055</v>
      </c>
      <c r="I13" s="101">
        <v>4.7907451281229285</v>
      </c>
      <c r="J13" s="101">
        <v>6.3856825965639352</v>
      </c>
      <c r="K13" s="97">
        <f t="shared" si="0"/>
        <v>57.302515400492517</v>
      </c>
    </row>
    <row r="14" spans="1:19" x14ac:dyDescent="0.2">
      <c r="A14" s="100" t="s">
        <v>34</v>
      </c>
      <c r="B14" s="101">
        <v>5.9856207487996373</v>
      </c>
      <c r="C14" s="101">
        <v>3.8170330437875779</v>
      </c>
      <c r="D14" s="101">
        <v>4.2635616198241211</v>
      </c>
      <c r="E14" s="101">
        <v>5.8951802414377958</v>
      </c>
      <c r="F14" s="101">
        <v>6.6883735774226825</v>
      </c>
      <c r="G14" s="101">
        <v>6.8998968019637275</v>
      </c>
      <c r="H14" s="101">
        <v>4.9945511076059459</v>
      </c>
      <c r="I14" s="101">
        <v>7.7788416818131889</v>
      </c>
      <c r="J14" s="101">
        <v>5.7616944852019323</v>
      </c>
      <c r="K14" s="97">
        <f t="shared" si="0"/>
        <v>52.084753307856609</v>
      </c>
      <c r="M14" s="97" t="s">
        <v>67</v>
      </c>
      <c r="N14" s="97" t="s">
        <v>67</v>
      </c>
    </row>
    <row r="15" spans="1:19" x14ac:dyDescent="0.2">
      <c r="A15" s="100" t="s">
        <v>18</v>
      </c>
      <c r="B15" s="101">
        <v>3.1710068862284144</v>
      </c>
      <c r="C15" s="101">
        <v>4.9238620459574536</v>
      </c>
      <c r="D15" s="101">
        <v>4.7412017312770525</v>
      </c>
      <c r="E15" s="101">
        <v>3.1069987285548337</v>
      </c>
      <c r="F15" s="101">
        <v>5.7462699022571364</v>
      </c>
      <c r="G15" s="101">
        <v>6.6168775921935854</v>
      </c>
      <c r="H15" s="101">
        <v>8.2533739437782234</v>
      </c>
      <c r="I15" s="101">
        <v>11.111111111111111</v>
      </c>
      <c r="J15" s="101">
        <v>4.0457271789564198</v>
      </c>
      <c r="K15" s="97">
        <f t="shared" si="0"/>
        <v>51.716429120314231</v>
      </c>
      <c r="M15" s="97" t="s">
        <v>52</v>
      </c>
      <c r="N15" s="97" t="s">
        <v>125</v>
      </c>
    </row>
    <row r="16" spans="1:19" x14ac:dyDescent="0.2">
      <c r="A16" s="100" t="s">
        <v>49</v>
      </c>
      <c r="B16" s="101">
        <v>8.6737351119294583</v>
      </c>
      <c r="C16" s="101">
        <v>3.9514073843211057</v>
      </c>
      <c r="D16" s="101">
        <v>7.1891073024733254</v>
      </c>
      <c r="E16" s="101">
        <v>7.835711684807289</v>
      </c>
      <c r="F16" s="101">
        <v>2.943525899391334</v>
      </c>
      <c r="G16" s="101">
        <v>5.2017815433428787</v>
      </c>
      <c r="H16" s="101">
        <v>5.6625154396979269</v>
      </c>
      <c r="I16" s="101">
        <v>2.7986807589960891</v>
      </c>
      <c r="J16" s="101">
        <v>6.0736885408829338</v>
      </c>
      <c r="K16" s="97">
        <f t="shared" si="0"/>
        <v>50.330153665842346</v>
      </c>
      <c r="M16" s="97" t="s">
        <v>57</v>
      </c>
      <c r="N16" s="97" t="s">
        <v>126</v>
      </c>
    </row>
    <row r="17" spans="1:14" x14ac:dyDescent="0.2">
      <c r="A17" s="100" t="s">
        <v>47</v>
      </c>
      <c r="B17" s="101">
        <v>4.783875504106307</v>
      </c>
      <c r="C17" s="101">
        <v>3.6134977992552177</v>
      </c>
      <c r="D17" s="101">
        <v>8.3235025671740352</v>
      </c>
      <c r="E17" s="101">
        <v>5.5847781944850841</v>
      </c>
      <c r="F17" s="101">
        <v>9.0670464970869293</v>
      </c>
      <c r="G17" s="101">
        <v>1.8055510261011816</v>
      </c>
      <c r="H17" s="101">
        <v>8.326899659986994</v>
      </c>
      <c r="I17" s="101">
        <v>2.0290195254698102</v>
      </c>
      <c r="J17" s="101">
        <v>4.2017242067969214</v>
      </c>
      <c r="K17" s="97">
        <f t="shared" si="0"/>
        <v>47.735894980462483</v>
      </c>
      <c r="M17" s="97" t="s">
        <v>58</v>
      </c>
      <c r="N17" s="97" t="s">
        <v>127</v>
      </c>
    </row>
    <row r="18" spans="1:14" x14ac:dyDescent="0.2">
      <c r="A18" s="100" t="s">
        <v>32</v>
      </c>
      <c r="B18" s="101">
        <v>6.5232436214256024</v>
      </c>
      <c r="C18" s="101">
        <v>3.8087678955775095</v>
      </c>
      <c r="D18" s="101">
        <v>5.8755969959777623</v>
      </c>
      <c r="E18" s="101">
        <v>5.7479174894557481</v>
      </c>
      <c r="F18" s="101">
        <v>2.8532159956681458</v>
      </c>
      <c r="G18" s="101">
        <v>5.4848007531130198</v>
      </c>
      <c r="H18" s="101">
        <v>3.8521074441765748</v>
      </c>
      <c r="I18" s="101">
        <v>7.3260997797389074</v>
      </c>
      <c r="J18" s="101">
        <v>3.5777360954349167</v>
      </c>
      <c r="K18" s="97">
        <f t="shared" si="0"/>
        <v>45.049486070568186</v>
      </c>
      <c r="M18" s="97" t="s">
        <v>59</v>
      </c>
      <c r="N18" s="97" t="s">
        <v>128</v>
      </c>
    </row>
    <row r="19" spans="1:14" x14ac:dyDescent="0.2">
      <c r="A19" s="100" t="s">
        <v>39</v>
      </c>
      <c r="B19" s="101">
        <v>4.9419998784080601</v>
      </c>
      <c r="C19" s="101">
        <v>3.693190341034065</v>
      </c>
      <c r="D19" s="101">
        <v>1.9350660764910836</v>
      </c>
      <c r="E19" s="101">
        <v>2.5335160490929174</v>
      </c>
      <c r="F19" s="101">
        <v>8.2157125700176561</v>
      </c>
      <c r="G19" s="101">
        <v>4.9187623335727375</v>
      </c>
      <c r="H19" s="101">
        <v>3.2764357784373668</v>
      </c>
      <c r="I19" s="101">
        <v>6.9186320678720534</v>
      </c>
      <c r="J19" s="101">
        <v>5.449700429520929</v>
      </c>
      <c r="K19" s="97">
        <f t="shared" si="0"/>
        <v>41.883015524446876</v>
      </c>
      <c r="M19" s="97" t="s">
        <v>61</v>
      </c>
      <c r="N19" s="97" t="s">
        <v>129</v>
      </c>
    </row>
    <row r="20" spans="1:14" x14ac:dyDescent="0.2">
      <c r="A20" s="100" t="s">
        <v>50</v>
      </c>
      <c r="B20" s="101">
        <v>4.4043770057820968</v>
      </c>
      <c r="C20" s="101">
        <v>3.8894775463511815</v>
      </c>
      <c r="D20" s="101">
        <v>7.1294022885417077</v>
      </c>
      <c r="E20" s="101">
        <v>4.8118522576083684</v>
      </c>
      <c r="F20" s="101">
        <v>3.5811935256425951</v>
      </c>
      <c r="G20" s="101">
        <v>4.6357431238025955</v>
      </c>
      <c r="H20" s="101">
        <v>4.4878754825449345</v>
      </c>
      <c r="I20" s="101">
        <v>2.7081323785812326</v>
      </c>
      <c r="J20" s="101">
        <v>5.449700429520929</v>
      </c>
      <c r="K20" s="97">
        <f t="shared" si="0"/>
        <v>41.097754038375655</v>
      </c>
      <c r="M20" s="97" t="s">
        <v>63</v>
      </c>
      <c r="N20" s="97" t="s">
        <v>651</v>
      </c>
    </row>
    <row r="21" spans="1:14" x14ac:dyDescent="0.2">
      <c r="A21" s="109" t="s">
        <v>31</v>
      </c>
      <c r="B21" s="101">
        <v>2.0008865163954339</v>
      </c>
      <c r="C21" s="101">
        <v>4.321104447850149</v>
      </c>
      <c r="D21" s="101">
        <v>0.68126078392713885</v>
      </c>
      <c r="E21" s="101">
        <v>5.5093141674127644</v>
      </c>
      <c r="F21" s="101">
        <v>4.4697023905848816</v>
      </c>
      <c r="G21" s="101">
        <v>3.5036662847220299</v>
      </c>
      <c r="H21" s="101">
        <v>11.111111111111111</v>
      </c>
      <c r="I21" s="101">
        <v>4.428551606463504</v>
      </c>
      <c r="J21" s="101">
        <v>4.2017242067969214</v>
      </c>
      <c r="K21" s="97">
        <f t="shared" si="0"/>
        <v>40.227321515263931</v>
      </c>
      <c r="M21" s="97" t="s">
        <v>64</v>
      </c>
      <c r="N21" s="97" t="s">
        <v>136</v>
      </c>
    </row>
    <row r="22" spans="1:14" x14ac:dyDescent="0.2">
      <c r="A22" s="100" t="s">
        <v>56</v>
      </c>
      <c r="B22" s="101">
        <v>3.107757136507713</v>
      </c>
      <c r="C22" s="101">
        <v>3.4841088978589161</v>
      </c>
      <c r="D22" s="101">
        <v>6.2935320934990786</v>
      </c>
      <c r="E22" s="101">
        <v>3.6089862566776501</v>
      </c>
      <c r="F22" s="101">
        <v>2.5530518768559936</v>
      </c>
      <c r="G22" s="101">
        <v>5.4848007531130198</v>
      </c>
      <c r="H22" s="101">
        <v>2.7688989983770216</v>
      </c>
      <c r="I22" s="101">
        <v>4.7907451281229285</v>
      </c>
      <c r="J22" s="101">
        <v>6.6976766522449385</v>
      </c>
      <c r="K22" s="97">
        <f t="shared" si="0"/>
        <v>38.789557793257259</v>
      </c>
      <c r="M22" s="97" t="s">
        <v>65</v>
      </c>
      <c r="N22" s="97" t="s">
        <v>130</v>
      </c>
    </row>
    <row r="23" spans="1:14" x14ac:dyDescent="0.2">
      <c r="A23" s="100" t="s">
        <v>42</v>
      </c>
      <c r="B23" s="101">
        <v>2.3803850147196446</v>
      </c>
      <c r="C23" s="101">
        <v>3.8932724903175409</v>
      </c>
      <c r="D23" s="101">
        <v>3.6665114805079577</v>
      </c>
      <c r="E23" s="101">
        <v>1.8111921179229244</v>
      </c>
      <c r="F23" s="101">
        <v>4.4914975793618339</v>
      </c>
      <c r="G23" s="101">
        <v>4.6357431238025955</v>
      </c>
      <c r="H23" s="101">
        <v>4.6556458064464987</v>
      </c>
      <c r="I23" s="101">
        <v>4.5643741770857877</v>
      </c>
      <c r="J23" s="101">
        <v>6.2296855687234354</v>
      </c>
      <c r="K23" s="97">
        <f t="shared" si="0"/>
        <v>36.328307358888225</v>
      </c>
      <c r="M23" s="97" t="s">
        <v>66</v>
      </c>
      <c r="N23" s="97" t="s">
        <v>131</v>
      </c>
    </row>
    <row r="24" spans="1:14" x14ac:dyDescent="0.2">
      <c r="A24" s="100" t="s">
        <v>43</v>
      </c>
      <c r="B24" s="101">
        <v>3.4872556348319228</v>
      </c>
      <c r="C24" s="101">
        <v>3.4838982445716908</v>
      </c>
      <c r="D24" s="101">
        <v>8.5026176089688832</v>
      </c>
      <c r="E24" s="101">
        <v>2.7178787393049237</v>
      </c>
      <c r="F24" s="101">
        <v>2.7187798044486673</v>
      </c>
      <c r="G24" s="101">
        <v>2.3715894456414643</v>
      </c>
      <c r="H24" s="101">
        <v>4.6374233371084408</v>
      </c>
      <c r="I24" s="101">
        <v>3.2966968512777992</v>
      </c>
      <c r="J24" s="101">
        <v>4.2017242067969214</v>
      </c>
      <c r="K24" s="97">
        <f t="shared" si="0"/>
        <v>35.417863872950711</v>
      </c>
    </row>
    <row r="25" spans="1:14" x14ac:dyDescent="0.2">
      <c r="A25" s="100" t="s">
        <v>46</v>
      </c>
      <c r="B25" s="101">
        <v>3.2342566359491163</v>
      </c>
      <c r="C25" s="101">
        <v>3.6957345030323929</v>
      </c>
      <c r="D25" s="101">
        <v>6.9448790046674409</v>
      </c>
      <c r="E25" s="101">
        <v>2.5955165773280031</v>
      </c>
      <c r="F25" s="101">
        <v>3.0821618721588901</v>
      </c>
      <c r="G25" s="101">
        <v>4.0697047042623131</v>
      </c>
      <c r="H25" s="101">
        <v>5.7193718427414426</v>
      </c>
      <c r="I25" s="101">
        <v>3.885261323974365</v>
      </c>
      <c r="J25" s="101">
        <v>2.0177658170299058</v>
      </c>
      <c r="K25" s="97">
        <f t="shared" si="0"/>
        <v>35.244652281143871</v>
      </c>
    </row>
    <row r="26" spans="1:14" x14ac:dyDescent="0.2">
      <c r="A26" s="109" t="s">
        <v>41</v>
      </c>
      <c r="B26" s="101">
        <v>4.4676267555027982</v>
      </c>
      <c r="C26" s="101">
        <v>4.5129624116722358</v>
      </c>
      <c r="D26" s="101">
        <v>3.8456265223028065</v>
      </c>
      <c r="E26" s="101">
        <v>4.258930003681205</v>
      </c>
      <c r="F26" s="101">
        <v>2.7734110912726533</v>
      </c>
      <c r="G26" s="101">
        <v>4.0697047042623131</v>
      </c>
      <c r="H26" s="101">
        <v>3.1180489663334683</v>
      </c>
      <c r="I26" s="101">
        <v>3.4325194219000839</v>
      </c>
      <c r="J26" s="101">
        <v>1.3937777056679019</v>
      </c>
      <c r="K26" s="97">
        <f t="shared" si="0"/>
        <v>31.872607582595467</v>
      </c>
    </row>
    <row r="27" spans="1:14" x14ac:dyDescent="0.2">
      <c r="A27" s="100" t="s">
        <v>30</v>
      </c>
      <c r="B27" s="101">
        <v>3.0445073867870116</v>
      </c>
      <c r="C27" s="101">
        <v>3.5401143868699623</v>
      </c>
      <c r="D27" s="101">
        <v>5.0397268009351341</v>
      </c>
      <c r="E27" s="101">
        <v>3.7068763325422163</v>
      </c>
      <c r="F27" s="101">
        <v>3.4927755785417327</v>
      </c>
      <c r="G27" s="101">
        <v>3.2206470749518887</v>
      </c>
      <c r="H27" s="101">
        <v>3.2053364583225825</v>
      </c>
      <c r="I27" s="101">
        <v>3.3872452316926553</v>
      </c>
      <c r="J27" s="101">
        <v>2.7977509562324112</v>
      </c>
      <c r="K27" s="97">
        <f t="shared" si="0"/>
        <v>31.434980206875593</v>
      </c>
    </row>
    <row r="28" spans="1:14" x14ac:dyDescent="0.2">
      <c r="A28" s="109" t="s">
        <v>38</v>
      </c>
      <c r="B28" s="101">
        <v>3.0128825119266605</v>
      </c>
      <c r="C28" s="101">
        <v>3.5453866265721063</v>
      </c>
      <c r="D28" s="101">
        <v>4.9800217870035182</v>
      </c>
      <c r="E28" s="101">
        <v>4.259717766172237</v>
      </c>
      <c r="F28" s="101">
        <v>2.3982133640291452</v>
      </c>
      <c r="G28" s="101">
        <v>2.3715894456414643</v>
      </c>
      <c r="H28" s="101">
        <v>3.4334771918976621</v>
      </c>
      <c r="I28" s="101">
        <v>2.0742937156772383</v>
      </c>
      <c r="J28" s="101">
        <v>4.8257123181589252</v>
      </c>
      <c r="K28" s="97">
        <f t="shared" si="0"/>
        <v>30.901294727078959</v>
      </c>
    </row>
    <row r="29" spans="1:14" x14ac:dyDescent="0.2">
      <c r="A29" s="100" t="s">
        <v>29</v>
      </c>
      <c r="B29" s="101">
        <v>2.5385093890213977</v>
      </c>
      <c r="C29" s="101">
        <v>3.4703780912265025</v>
      </c>
      <c r="D29" s="101">
        <v>4.2038566058925051</v>
      </c>
      <c r="E29" s="101">
        <v>1.1054079428791548</v>
      </c>
      <c r="F29" s="101">
        <v>3.5448070081608556</v>
      </c>
      <c r="G29" s="101">
        <v>0</v>
      </c>
      <c r="H29" s="101">
        <v>1.1087908516702158</v>
      </c>
      <c r="I29" s="101">
        <v>2.1648420960920949</v>
      </c>
      <c r="J29" s="101">
        <v>1.0817836499868991</v>
      </c>
      <c r="K29" s="97">
        <f t="shared" si="0"/>
        <v>19.218375634929625</v>
      </c>
    </row>
    <row r="30" spans="1:14" x14ac:dyDescent="0.2">
      <c r="A30" s="100" t="s">
        <v>48</v>
      </c>
      <c r="B30" s="101">
        <v>1.7162626426522773</v>
      </c>
      <c r="C30" s="101">
        <v>3.453690233361304</v>
      </c>
      <c r="D30" s="101">
        <v>5.8158919820461481</v>
      </c>
      <c r="E30" s="101">
        <v>1.5991809818931384</v>
      </c>
      <c r="F30" s="101">
        <v>2.6800902642868607</v>
      </c>
      <c r="G30" s="101">
        <v>0.39045497725047401</v>
      </c>
      <c r="H30" s="101">
        <v>0</v>
      </c>
      <c r="I30" s="101">
        <v>3.2966968512777992</v>
      </c>
      <c r="J30" s="101">
        <v>0</v>
      </c>
      <c r="K30" s="97">
        <f t="shared" si="0"/>
        <v>18.952267932768002</v>
      </c>
    </row>
  </sheetData>
  <sortState ref="A3:K30">
    <sortCondition descending="1" ref="K3:K30"/>
  </sortState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Q32"/>
  <sheetViews>
    <sheetView showGridLines="0" zoomScale="85" zoomScaleNormal="85" workbookViewId="0">
      <selection activeCell="W31" sqref="W31"/>
    </sheetView>
  </sheetViews>
  <sheetFormatPr defaultRowHeight="15" x14ac:dyDescent="0.25"/>
  <cols>
    <col min="2" max="2" width="11.42578125" customWidth="1"/>
    <col min="6" max="6" width="15.85546875" bestFit="1" customWidth="1"/>
    <col min="7" max="7" width="19.7109375" bestFit="1" customWidth="1"/>
    <col min="8" max="8" width="13.28515625" bestFit="1" customWidth="1"/>
    <col min="9" max="9" width="10.5703125" customWidth="1"/>
    <col min="10" max="10" width="13.28515625" customWidth="1"/>
  </cols>
  <sheetData>
    <row r="1" spans="2:17" x14ac:dyDescent="0.25">
      <c r="C1">
        <v>2015</v>
      </c>
    </row>
    <row r="2" spans="2:17" x14ac:dyDescent="0.25">
      <c r="B2" s="110" t="s">
        <v>52</v>
      </c>
      <c r="C2" s="111">
        <v>2013</v>
      </c>
    </row>
    <row r="3" spans="2:17" x14ac:dyDescent="0.25">
      <c r="B3" s="112" t="s">
        <v>35</v>
      </c>
      <c r="C3" s="113">
        <v>98.556534916872465</v>
      </c>
      <c r="D3">
        <v>1</v>
      </c>
      <c r="J3" s="10" t="s">
        <v>132</v>
      </c>
      <c r="K3" s="10"/>
      <c r="L3" s="97"/>
      <c r="M3" s="96" t="s">
        <v>133</v>
      </c>
    </row>
    <row r="4" spans="2:17" x14ac:dyDescent="0.25">
      <c r="B4" s="112" t="s">
        <v>51</v>
      </c>
      <c r="C4" s="113">
        <v>98.271911043129293</v>
      </c>
      <c r="D4">
        <v>2</v>
      </c>
      <c r="J4" s="102">
        <v>1</v>
      </c>
      <c r="K4" s="103">
        <v>2010</v>
      </c>
      <c r="L4" s="97"/>
      <c r="M4" s="104">
        <v>6</v>
      </c>
    </row>
    <row r="5" spans="2:17" x14ac:dyDescent="0.25">
      <c r="B5" s="112" t="s">
        <v>33</v>
      </c>
      <c r="C5" s="113">
        <v>91.440938073293523</v>
      </c>
      <c r="D5">
        <v>3</v>
      </c>
      <c r="J5" s="105">
        <v>2</v>
      </c>
      <c r="K5" s="106">
        <v>2011</v>
      </c>
      <c r="L5" s="97"/>
      <c r="M5" s="97"/>
    </row>
    <row r="6" spans="2:17" x14ac:dyDescent="0.25">
      <c r="B6" s="112" t="s">
        <v>37</v>
      </c>
      <c r="C6" s="113">
        <v>85.463836724687212</v>
      </c>
      <c r="D6">
        <v>4</v>
      </c>
      <c r="J6" s="105">
        <v>3</v>
      </c>
      <c r="K6" s="106">
        <v>2012</v>
      </c>
      <c r="L6" s="97"/>
      <c r="M6" s="96" t="s">
        <v>134</v>
      </c>
    </row>
    <row r="7" spans="2:17" x14ac:dyDescent="0.25">
      <c r="B7" s="112" t="s">
        <v>27</v>
      </c>
      <c r="C7" s="113">
        <v>84.325341229714581</v>
      </c>
      <c r="D7">
        <v>5</v>
      </c>
      <c r="J7" s="105">
        <v>4</v>
      </c>
      <c r="K7" s="106">
        <v>2013</v>
      </c>
      <c r="L7" s="97"/>
      <c r="M7" s="104">
        <v>1</v>
      </c>
    </row>
    <row r="8" spans="2:17" x14ac:dyDescent="0.25">
      <c r="B8" s="112" t="s">
        <v>49</v>
      </c>
      <c r="C8" s="113">
        <v>78.063616007365127</v>
      </c>
      <c r="D8">
        <v>6</v>
      </c>
      <c r="J8" s="105">
        <v>5</v>
      </c>
      <c r="K8" s="106">
        <v>2014</v>
      </c>
      <c r="L8" s="97"/>
      <c r="M8" s="97"/>
    </row>
    <row r="9" spans="2:17" x14ac:dyDescent="0.25">
      <c r="B9" s="112" t="s">
        <v>28</v>
      </c>
      <c r="C9" s="113">
        <v>69.240275921327239</v>
      </c>
      <c r="D9">
        <v>7</v>
      </c>
      <c r="J9" s="107">
        <v>6</v>
      </c>
      <c r="K9" s="108">
        <v>2015</v>
      </c>
    </row>
    <row r="10" spans="2:17" x14ac:dyDescent="0.25">
      <c r="B10" s="112" t="s">
        <v>36</v>
      </c>
      <c r="C10" s="113">
        <v>67.817156552611465</v>
      </c>
      <c r="D10">
        <v>8</v>
      </c>
    </row>
    <row r="11" spans="2:17" x14ac:dyDescent="0.25">
      <c r="B11" s="112" t="s">
        <v>45</v>
      </c>
      <c r="C11" s="113">
        <v>60.701559709032523</v>
      </c>
      <c r="D11">
        <v>9</v>
      </c>
    </row>
    <row r="12" spans="2:17" ht="15" customHeight="1" x14ac:dyDescent="0.5">
      <c r="B12" s="112" t="s">
        <v>32</v>
      </c>
      <c r="C12" s="113">
        <v>58.709192592830419</v>
      </c>
      <c r="D12">
        <v>10</v>
      </c>
      <c r="F12" s="115"/>
      <c r="G12" s="115"/>
      <c r="H12" s="115"/>
      <c r="I12" s="115"/>
      <c r="L12" s="115"/>
      <c r="M12" s="115"/>
      <c r="N12" s="115"/>
      <c r="O12" s="115"/>
      <c r="P12" s="115"/>
      <c r="Q12" s="115"/>
    </row>
    <row r="13" spans="2:17" ht="15" customHeight="1" x14ac:dyDescent="0.5">
      <c r="B13" s="112" t="s">
        <v>34</v>
      </c>
      <c r="C13" s="113">
        <v>53.870586739196739</v>
      </c>
      <c r="D13">
        <v>11</v>
      </c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</row>
    <row r="14" spans="2:17" ht="15" customHeight="1" x14ac:dyDescent="0.5">
      <c r="B14" s="112" t="s">
        <v>54</v>
      </c>
      <c r="C14" s="113">
        <v>50.739724128022004</v>
      </c>
      <c r="D14">
        <v>12</v>
      </c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</row>
    <row r="15" spans="2:17" ht="15" customHeight="1" x14ac:dyDescent="0.5">
      <c r="B15" s="112" t="s">
        <v>40</v>
      </c>
      <c r="C15" s="113">
        <v>48.812624210454125</v>
      </c>
      <c r="D15">
        <v>13</v>
      </c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</row>
    <row r="16" spans="2:17" ht="15" customHeight="1" x14ac:dyDescent="0.5">
      <c r="B16" s="112" t="s">
        <v>39</v>
      </c>
      <c r="C16" s="113">
        <v>44.477998905672543</v>
      </c>
      <c r="D16">
        <v>14</v>
      </c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</row>
    <row r="17" spans="2:17" ht="15" customHeight="1" x14ac:dyDescent="0.5">
      <c r="B17" s="112" t="s">
        <v>47</v>
      </c>
      <c r="C17" s="113">
        <v>43.054879536956761</v>
      </c>
      <c r="D17">
        <v>15</v>
      </c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</row>
    <row r="18" spans="2:17" ht="15" customHeight="1" x14ac:dyDescent="0.5">
      <c r="B18" s="112" t="s">
        <v>41</v>
      </c>
      <c r="C18" s="113">
        <v>40.208640799525185</v>
      </c>
      <c r="D18">
        <v>16</v>
      </c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</row>
    <row r="19" spans="2:17" ht="31.5" x14ac:dyDescent="0.5">
      <c r="B19" s="112" t="s">
        <v>50</v>
      </c>
      <c r="C19" s="113">
        <v>39.639393052038869</v>
      </c>
      <c r="D19">
        <v>17</v>
      </c>
      <c r="J19" s="115"/>
      <c r="K19" s="115"/>
    </row>
    <row r="20" spans="2:17" x14ac:dyDescent="0.25">
      <c r="B20" s="112" t="s">
        <v>44</v>
      </c>
      <c r="C20" s="113">
        <v>37.362402062093608</v>
      </c>
      <c r="D20">
        <v>18</v>
      </c>
    </row>
    <row r="21" spans="2:17" x14ac:dyDescent="0.25">
      <c r="B21" s="112" t="s">
        <v>43</v>
      </c>
      <c r="C21" s="113">
        <v>31.385300713487304</v>
      </c>
      <c r="D21">
        <v>19</v>
      </c>
    </row>
    <row r="22" spans="2:17" x14ac:dyDescent="0.25">
      <c r="B22" s="112" t="s">
        <v>46</v>
      </c>
      <c r="C22" s="113">
        <v>29.108309723542046</v>
      </c>
      <c r="D22">
        <v>20</v>
      </c>
    </row>
    <row r="23" spans="2:17" x14ac:dyDescent="0.25">
      <c r="B23" s="112" t="s">
        <v>18</v>
      </c>
      <c r="C23" s="113">
        <v>28.539061976055731</v>
      </c>
      <c r="D23">
        <v>21</v>
      </c>
      <c r="F23">
        <v>0</v>
      </c>
      <c r="G23" s="10" t="s">
        <v>101</v>
      </c>
      <c r="H23" s="10" t="s">
        <v>103</v>
      </c>
      <c r="I23" s="10" t="s">
        <v>135</v>
      </c>
      <c r="J23" s="10" t="s">
        <v>104</v>
      </c>
    </row>
    <row r="24" spans="2:17" x14ac:dyDescent="0.25">
      <c r="B24" s="112" t="s">
        <v>56</v>
      </c>
      <c r="C24" s="113">
        <v>27.969814228569415</v>
      </c>
      <c r="D24">
        <v>22</v>
      </c>
      <c r="F24" s="17">
        <v>1</v>
      </c>
      <c r="G24" s="18" t="s">
        <v>73</v>
      </c>
      <c r="H24" s="103" t="s">
        <v>106</v>
      </c>
      <c r="I24">
        <v>37</v>
      </c>
      <c r="J24" t="s">
        <v>53</v>
      </c>
    </row>
    <row r="25" spans="2:17" x14ac:dyDescent="0.25">
      <c r="B25" s="112" t="s">
        <v>30</v>
      </c>
      <c r="C25" s="113">
        <v>27.400566481083104</v>
      </c>
      <c r="D25">
        <v>23</v>
      </c>
      <c r="F25" s="20">
        <v>2</v>
      </c>
      <c r="G25" s="5" t="s">
        <v>57</v>
      </c>
      <c r="H25" s="106" t="s">
        <v>77</v>
      </c>
      <c r="I25">
        <v>50</v>
      </c>
      <c r="J25" t="s">
        <v>76</v>
      </c>
    </row>
    <row r="26" spans="2:17" x14ac:dyDescent="0.25">
      <c r="B26" s="112" t="s">
        <v>38</v>
      </c>
      <c r="C26" s="113">
        <v>27.115942607339942</v>
      </c>
      <c r="D26">
        <v>24</v>
      </c>
      <c r="F26" s="20">
        <v>3</v>
      </c>
      <c r="G26" s="5" t="s">
        <v>58</v>
      </c>
      <c r="H26" s="106" t="s">
        <v>80</v>
      </c>
      <c r="I26">
        <v>16</v>
      </c>
      <c r="J26" t="s">
        <v>140</v>
      </c>
    </row>
    <row r="27" spans="2:17" x14ac:dyDescent="0.25">
      <c r="B27" s="112" t="s">
        <v>29</v>
      </c>
      <c r="C27" s="113">
        <v>22.846584501192581</v>
      </c>
      <c r="D27">
        <v>25</v>
      </c>
      <c r="F27" s="20">
        <v>4</v>
      </c>
      <c r="G27" s="5" t="s">
        <v>59</v>
      </c>
      <c r="H27" s="106" t="s">
        <v>83</v>
      </c>
      <c r="I27">
        <v>22</v>
      </c>
      <c r="J27" t="s">
        <v>60</v>
      </c>
    </row>
    <row r="28" spans="2:17" x14ac:dyDescent="0.25">
      <c r="B28" s="112" t="s">
        <v>42</v>
      </c>
      <c r="C28" s="113">
        <v>21.4234651324768</v>
      </c>
      <c r="D28">
        <v>26</v>
      </c>
      <c r="F28" s="20">
        <v>5</v>
      </c>
      <c r="G28" s="5" t="s">
        <v>86</v>
      </c>
      <c r="H28" s="106" t="s">
        <v>87</v>
      </c>
      <c r="I28">
        <v>23</v>
      </c>
      <c r="J28" t="s">
        <v>62</v>
      </c>
    </row>
    <row r="29" spans="2:17" x14ac:dyDescent="0.25">
      <c r="B29" s="112" t="s">
        <v>31</v>
      </c>
      <c r="C29" s="113">
        <v>18.007978647558904</v>
      </c>
      <c r="D29">
        <v>27</v>
      </c>
      <c r="F29" s="20">
        <v>6</v>
      </c>
      <c r="G29" s="5" t="s">
        <v>63</v>
      </c>
      <c r="H29" s="106" t="s">
        <v>89</v>
      </c>
      <c r="I29">
        <v>39</v>
      </c>
      <c r="J29" t="s">
        <v>650</v>
      </c>
    </row>
    <row r="30" spans="2:17" x14ac:dyDescent="0.25">
      <c r="B30" s="112" t="s">
        <v>48</v>
      </c>
      <c r="C30" s="113">
        <v>15.446363783870495</v>
      </c>
      <c r="D30">
        <v>28</v>
      </c>
      <c r="F30" s="20">
        <v>7</v>
      </c>
      <c r="G30" s="5" t="s">
        <v>91</v>
      </c>
      <c r="H30" s="106" t="s">
        <v>92</v>
      </c>
      <c r="I30">
        <v>44</v>
      </c>
      <c r="J30" t="s">
        <v>657</v>
      </c>
    </row>
    <row r="31" spans="2:17" x14ac:dyDescent="0.25">
      <c r="F31" s="20">
        <v>8</v>
      </c>
      <c r="G31" s="5" t="s">
        <v>93</v>
      </c>
      <c r="H31" s="106" t="s">
        <v>95</v>
      </c>
      <c r="I31">
        <v>42</v>
      </c>
      <c r="J31" t="s">
        <v>94</v>
      </c>
    </row>
    <row r="32" spans="2:17" x14ac:dyDescent="0.25">
      <c r="F32" s="114">
        <v>9</v>
      </c>
      <c r="G32" s="26" t="s">
        <v>66</v>
      </c>
      <c r="H32" s="108" t="s">
        <v>98</v>
      </c>
      <c r="I32">
        <v>47</v>
      </c>
      <c r="J32" t="s">
        <v>97</v>
      </c>
    </row>
  </sheetData>
  <sortState ref="B3:C30">
    <sortCondition descending="1" ref="C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14999847407452621"/>
  </sheetPr>
  <dimension ref="A1:K33"/>
  <sheetViews>
    <sheetView workbookViewId="0">
      <selection activeCell="J2" sqref="J2:K33"/>
    </sheetView>
  </sheetViews>
  <sheetFormatPr defaultRowHeight="15" x14ac:dyDescent="0.25"/>
  <cols>
    <col min="1" max="1" width="22.140625" customWidth="1"/>
    <col min="2" max="2" width="9.5703125" bestFit="1" customWidth="1"/>
  </cols>
  <sheetData>
    <row r="1" spans="1:11" x14ac:dyDescent="0.25">
      <c r="A1" t="s">
        <v>32</v>
      </c>
      <c r="B1">
        <v>2015</v>
      </c>
    </row>
    <row r="2" spans="1:11" x14ac:dyDescent="0.25">
      <c r="B2" t="s">
        <v>68</v>
      </c>
      <c r="C2" t="s">
        <v>652</v>
      </c>
      <c r="G2" s="10" t="s">
        <v>132</v>
      </c>
      <c r="H2" s="10"/>
      <c r="J2" s="10" t="s">
        <v>655</v>
      </c>
    </row>
    <row r="3" spans="1:11" x14ac:dyDescent="0.25">
      <c r="A3" t="s">
        <v>93</v>
      </c>
      <c r="B3" s="123">
        <f>VLOOKUP($A$1,tblExports,$B$1-1993,0)</f>
        <v>65.93489801765017</v>
      </c>
      <c r="C3" s="121">
        <f>VLOOKUP($A$1,tblExports,$B$1-2000,0)</f>
        <v>15.3</v>
      </c>
      <c r="E3">
        <v>1</v>
      </c>
      <c r="G3" s="102">
        <v>1</v>
      </c>
      <c r="H3" s="103">
        <v>2010</v>
      </c>
      <c r="J3" s="17">
        <v>1</v>
      </c>
      <c r="K3" s="103" t="s">
        <v>28</v>
      </c>
    </row>
    <row r="4" spans="1:11" x14ac:dyDescent="0.25">
      <c r="A4" t="s">
        <v>73</v>
      </c>
      <c r="B4" s="123">
        <f>VLOOKUP($A$1,tblRaD,$B$1-1993,0)</f>
        <v>58.709192592830419</v>
      </c>
      <c r="C4" s="116">
        <f>VLOOKUP($A$1,tblRaD,$B$1-2000,0)</f>
        <v>1.91</v>
      </c>
      <c r="E4">
        <v>2</v>
      </c>
      <c r="G4" s="105">
        <v>2</v>
      </c>
      <c r="H4" s="106">
        <v>2011</v>
      </c>
      <c r="J4" s="20">
        <v>2</v>
      </c>
      <c r="K4" s="106" t="s">
        <v>29</v>
      </c>
    </row>
    <row r="5" spans="1:11" x14ac:dyDescent="0.25">
      <c r="A5" t="s">
        <v>58</v>
      </c>
      <c r="B5" s="123">
        <f>VLOOKUP($A$1,tblGraduates,$B$1-1993,0)</f>
        <v>52.880372963799864</v>
      </c>
      <c r="C5" s="121">
        <f>VLOOKUP($A$1,tblGraduates,$B$1-2000,0)</f>
        <v>16.899999999999999</v>
      </c>
      <c r="E5">
        <v>3</v>
      </c>
      <c r="G5" s="105">
        <v>3</v>
      </c>
      <c r="H5" s="106">
        <v>2012</v>
      </c>
      <c r="J5" s="20">
        <v>3</v>
      </c>
      <c r="K5" s="106" t="s">
        <v>32</v>
      </c>
    </row>
    <row r="6" spans="1:11" x14ac:dyDescent="0.25">
      <c r="A6" t="s">
        <v>59</v>
      </c>
      <c r="B6" s="123">
        <f>VLOOKUP($A$1,tblDocuments,$B$1-1993,0)</f>
        <v>51.731257405101736</v>
      </c>
      <c r="C6" s="121">
        <f>VLOOKUP($A$1,tblDocuments,$B$1-2000,0)</f>
        <v>1.8167084093584931</v>
      </c>
      <c r="E6">
        <v>4</v>
      </c>
      <c r="G6" s="105">
        <v>4</v>
      </c>
      <c r="H6" s="106">
        <v>2013</v>
      </c>
      <c r="J6" s="20">
        <v>4</v>
      </c>
      <c r="K6" s="106" t="s">
        <v>33</v>
      </c>
    </row>
    <row r="7" spans="1:11" x14ac:dyDescent="0.25">
      <c r="A7" t="s">
        <v>63</v>
      </c>
      <c r="B7" s="123">
        <f>VLOOKUP($A$1,tblBroadband,$B$1-1993,0)</f>
        <v>49.363206778017179</v>
      </c>
      <c r="C7" s="121">
        <f>VLOOKUP($A$1,tblBroadband,$B$1-2000,0)</f>
        <v>76</v>
      </c>
      <c r="E7">
        <v>5</v>
      </c>
      <c r="G7" s="97">
        <v>5</v>
      </c>
      <c r="H7" s="97">
        <v>2014</v>
      </c>
      <c r="J7" s="20">
        <v>5</v>
      </c>
      <c r="K7" s="106" t="s">
        <v>34</v>
      </c>
    </row>
    <row r="8" spans="1:11" x14ac:dyDescent="0.25">
      <c r="A8" t="s">
        <v>71</v>
      </c>
      <c r="B8" s="123">
        <f>VLOOKUP($A$1,tblEIB,$B$1-1993,0)</f>
        <v>45.049486070568186</v>
      </c>
      <c r="E8">
        <v>6</v>
      </c>
      <c r="G8" s="107">
        <v>6</v>
      </c>
      <c r="H8" s="108">
        <v>2015</v>
      </c>
      <c r="J8" s="20">
        <v>6</v>
      </c>
      <c r="K8" s="106" t="s">
        <v>35</v>
      </c>
    </row>
    <row r="9" spans="1:11" x14ac:dyDescent="0.25">
      <c r="A9" t="s">
        <v>91</v>
      </c>
      <c r="B9" s="123">
        <f>VLOOKUP($A$1,tblEducExp,$B$1-1993,0)</f>
        <v>34.668966997589173</v>
      </c>
      <c r="C9" s="121">
        <f>VLOOKUP($A$1,tblEducExp,$B$1-2000,0)</f>
        <v>4.2995122788983151</v>
      </c>
      <c r="E9">
        <v>7</v>
      </c>
      <c r="J9" s="20">
        <v>7</v>
      </c>
      <c r="K9" s="106" t="s">
        <v>36</v>
      </c>
    </row>
    <row r="10" spans="1:11" x14ac:dyDescent="0.25">
      <c r="A10" t="s">
        <v>57</v>
      </c>
      <c r="B10" s="123">
        <f>VLOOKUP($A$1,tblPatents,$B$1-1993,0)</f>
        <v>34.278911060197586</v>
      </c>
      <c r="C10" s="121">
        <f>VLOOKUP($A$1,tblPatents,$B$1-2000,0)</f>
        <v>0.20349701054333227</v>
      </c>
      <c r="E10">
        <v>8</v>
      </c>
      <c r="G10" s="10" t="s">
        <v>653</v>
      </c>
      <c r="J10" s="20">
        <v>8</v>
      </c>
      <c r="K10" s="106" t="s">
        <v>30</v>
      </c>
    </row>
    <row r="11" spans="1:11" x14ac:dyDescent="0.25">
      <c r="A11" t="s">
        <v>66</v>
      </c>
      <c r="B11" s="123">
        <f>VLOOKUP($A$1,tbleGovernment,$B$1-1993,0)</f>
        <v>32.199624858914248</v>
      </c>
      <c r="C11" s="121">
        <f>VLOOKUP($A$1,tbleGovernment,$B$1-2000,0)</f>
        <v>37</v>
      </c>
      <c r="E11">
        <v>9</v>
      </c>
      <c r="G11" s="122">
        <v>6</v>
      </c>
      <c r="J11" s="20">
        <v>9</v>
      </c>
      <c r="K11" s="106" t="s">
        <v>40</v>
      </c>
    </row>
    <row r="12" spans="1:11" x14ac:dyDescent="0.25">
      <c r="A12" t="s">
        <v>86</v>
      </c>
      <c r="B12" s="123">
        <f>VLOOKUP($A$1,tblVentureCap,$B$1-1993,0)</f>
        <v>25.678943961013314</v>
      </c>
      <c r="C12" s="121">
        <f>VLOOKUP($A$1,tblVentureCap,$B$1-2000,0)</f>
        <v>1.8956602323788427E-5</v>
      </c>
      <c r="E12">
        <v>10</v>
      </c>
      <c r="J12" s="20">
        <v>10</v>
      </c>
      <c r="K12" s="106" t="s">
        <v>41</v>
      </c>
    </row>
    <row r="13" spans="1:11" x14ac:dyDescent="0.25">
      <c r="J13" s="20">
        <v>11</v>
      </c>
      <c r="K13" s="106" t="s">
        <v>31</v>
      </c>
    </row>
    <row r="14" spans="1:11" x14ac:dyDescent="0.25">
      <c r="J14" s="20">
        <v>12</v>
      </c>
      <c r="K14" s="106" t="s">
        <v>43</v>
      </c>
    </row>
    <row r="15" spans="1:11" x14ac:dyDescent="0.25">
      <c r="J15" s="20">
        <v>13</v>
      </c>
      <c r="K15" s="106" t="s">
        <v>42</v>
      </c>
    </row>
    <row r="16" spans="1:11" x14ac:dyDescent="0.25">
      <c r="J16" s="20">
        <v>14</v>
      </c>
      <c r="K16" s="106" t="s">
        <v>44</v>
      </c>
    </row>
    <row r="17" spans="10:11" x14ac:dyDescent="0.25">
      <c r="J17" s="20">
        <v>15</v>
      </c>
      <c r="K17" s="106" t="s">
        <v>39</v>
      </c>
    </row>
    <row r="18" spans="10:11" x14ac:dyDescent="0.25">
      <c r="J18" s="20">
        <v>16</v>
      </c>
      <c r="K18" s="106" t="s">
        <v>18</v>
      </c>
    </row>
    <row r="19" spans="10:11" x14ac:dyDescent="0.25">
      <c r="J19" s="20">
        <v>17</v>
      </c>
      <c r="K19" s="106" t="s">
        <v>37</v>
      </c>
    </row>
    <row r="20" spans="10:11" x14ac:dyDescent="0.25">
      <c r="J20" s="20">
        <v>18</v>
      </c>
      <c r="K20" s="106" t="s">
        <v>45</v>
      </c>
    </row>
    <row r="21" spans="10:11" x14ac:dyDescent="0.25">
      <c r="J21" s="20">
        <v>19</v>
      </c>
      <c r="K21" s="106" t="s">
        <v>46</v>
      </c>
    </row>
    <row r="22" spans="10:11" x14ac:dyDescent="0.25">
      <c r="J22" s="20">
        <v>20</v>
      </c>
      <c r="K22" s="106" t="s">
        <v>47</v>
      </c>
    </row>
    <row r="23" spans="10:11" x14ac:dyDescent="0.25">
      <c r="J23" s="20">
        <v>21</v>
      </c>
      <c r="K23" s="106" t="s">
        <v>27</v>
      </c>
    </row>
    <row r="24" spans="10:11" x14ac:dyDescent="0.25">
      <c r="J24" s="20">
        <v>22</v>
      </c>
      <c r="K24" s="106" t="s">
        <v>48</v>
      </c>
    </row>
    <row r="25" spans="10:11" x14ac:dyDescent="0.25">
      <c r="J25" s="20">
        <v>23</v>
      </c>
      <c r="K25" s="106" t="s">
        <v>38</v>
      </c>
    </row>
    <row r="26" spans="10:11" x14ac:dyDescent="0.25">
      <c r="J26" s="20">
        <v>24</v>
      </c>
      <c r="K26" s="106" t="s">
        <v>56</v>
      </c>
    </row>
    <row r="27" spans="10:11" x14ac:dyDescent="0.25">
      <c r="J27" s="20">
        <v>25</v>
      </c>
      <c r="K27" s="106" t="s">
        <v>49</v>
      </c>
    </row>
    <row r="28" spans="10:11" x14ac:dyDescent="0.25">
      <c r="J28" s="20">
        <v>26</v>
      </c>
      <c r="K28" s="106" t="s">
        <v>54</v>
      </c>
    </row>
    <row r="29" spans="10:11" x14ac:dyDescent="0.25">
      <c r="J29" s="20">
        <v>27</v>
      </c>
      <c r="K29" s="106" t="s">
        <v>50</v>
      </c>
    </row>
    <row r="30" spans="10:11" x14ac:dyDescent="0.25">
      <c r="J30" s="114">
        <v>28</v>
      </c>
      <c r="K30" s="108" t="s">
        <v>51</v>
      </c>
    </row>
    <row r="32" spans="10:11" x14ac:dyDescent="0.25">
      <c r="J32" s="10" t="s">
        <v>654</v>
      </c>
    </row>
    <row r="33" spans="10:10" x14ac:dyDescent="0.25">
      <c r="J33" s="122">
        <v>3</v>
      </c>
    </row>
  </sheetData>
  <sortState ref="A3:C12">
    <sortCondition descending="1" ref="B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B1:AD328"/>
  <sheetViews>
    <sheetView showGridLines="0" topLeftCell="B1" zoomScale="85" zoomScaleNormal="85" workbookViewId="0">
      <pane xSplit="1" ySplit="1" topLeftCell="C2" activePane="bottomRight" state="frozen"/>
      <selection activeCell="W31" sqref="W31"/>
      <selection pane="topRight" activeCell="W31" sqref="W31"/>
      <selection pane="bottomLeft" activeCell="W31" sqref="W31"/>
      <selection pane="bottomRight" activeCell="B32" sqref="B32"/>
    </sheetView>
  </sheetViews>
  <sheetFormatPr defaultRowHeight="15" x14ac:dyDescent="0.25"/>
  <cols>
    <col min="2" max="2" width="22.5703125" customWidth="1"/>
    <col min="10" max="10" width="9.140625" customWidth="1"/>
  </cols>
  <sheetData>
    <row r="1" spans="2:30" ht="15.75" thickBot="1" x14ac:dyDescent="0.3">
      <c r="B1" s="68" t="s">
        <v>67</v>
      </c>
      <c r="C1" s="139" t="s">
        <v>71</v>
      </c>
      <c r="D1" s="140"/>
      <c r="E1" s="140"/>
      <c r="F1" s="140"/>
      <c r="G1" s="140"/>
      <c r="H1" s="140"/>
      <c r="I1" s="141"/>
      <c r="J1" s="139" t="s">
        <v>109</v>
      </c>
      <c r="K1" s="140"/>
      <c r="L1" s="140"/>
      <c r="M1" s="140"/>
      <c r="N1" s="140"/>
      <c r="O1" s="140"/>
      <c r="P1" s="141"/>
      <c r="Q1" s="139" t="s">
        <v>68</v>
      </c>
      <c r="R1" s="140"/>
      <c r="S1" s="140"/>
      <c r="T1" s="140"/>
      <c r="U1" s="140"/>
      <c r="V1" s="140"/>
      <c r="W1" s="141"/>
      <c r="X1" s="139" t="s">
        <v>69</v>
      </c>
      <c r="Y1" s="140"/>
      <c r="Z1" s="140"/>
      <c r="AA1" s="140"/>
      <c r="AB1" s="140"/>
      <c r="AC1" s="140"/>
      <c r="AD1" s="141"/>
    </row>
    <row r="2" spans="2:30" x14ac:dyDescent="0.25">
      <c r="B2" s="68"/>
      <c r="C2" s="1">
        <v>2009</v>
      </c>
      <c r="D2" s="2">
        <v>2010</v>
      </c>
      <c r="E2" s="2">
        <v>2011</v>
      </c>
      <c r="F2" s="2">
        <v>2012</v>
      </c>
      <c r="G2" s="2">
        <v>2013</v>
      </c>
      <c r="H2" s="2">
        <v>2014</v>
      </c>
      <c r="I2" s="3">
        <v>2015</v>
      </c>
      <c r="J2" s="2"/>
      <c r="K2" s="2"/>
      <c r="L2" s="2"/>
      <c r="M2" s="2"/>
      <c r="N2" s="2"/>
      <c r="O2" s="2"/>
      <c r="P2" s="2"/>
      <c r="Q2" s="1">
        <v>2009</v>
      </c>
      <c r="R2" s="2">
        <v>2010</v>
      </c>
      <c r="S2" s="2">
        <v>2011</v>
      </c>
      <c r="T2" s="2">
        <v>2012</v>
      </c>
      <c r="U2" s="2">
        <v>2013</v>
      </c>
      <c r="V2" s="2">
        <v>2014</v>
      </c>
      <c r="W2" s="3">
        <v>2015</v>
      </c>
      <c r="X2" s="2">
        <v>2009</v>
      </c>
      <c r="Y2" s="2">
        <v>2010</v>
      </c>
      <c r="Z2" s="2">
        <v>2011</v>
      </c>
      <c r="AA2" s="2">
        <v>2012</v>
      </c>
      <c r="AB2" s="2">
        <v>2013</v>
      </c>
      <c r="AC2" s="2">
        <v>2014</v>
      </c>
      <c r="AD2" s="3">
        <v>2015</v>
      </c>
    </row>
    <row r="3" spans="2:30" x14ac:dyDescent="0.25">
      <c r="B3" s="69" t="s">
        <v>67</v>
      </c>
      <c r="C3" s="64" t="s">
        <v>114</v>
      </c>
      <c r="D3" s="63" t="s">
        <v>114</v>
      </c>
      <c r="E3" s="63" t="s">
        <v>114</v>
      </c>
      <c r="F3" s="63" t="s">
        <v>114</v>
      </c>
      <c r="G3" s="63" t="s">
        <v>114</v>
      </c>
      <c r="H3" s="63" t="s">
        <v>114</v>
      </c>
      <c r="I3" s="65" t="s">
        <v>114</v>
      </c>
      <c r="J3" s="63"/>
      <c r="K3" s="63"/>
      <c r="L3" s="63"/>
      <c r="M3" s="63"/>
      <c r="N3" s="63"/>
      <c r="O3" s="63"/>
      <c r="P3" s="63"/>
      <c r="Q3" s="64" t="s">
        <v>114</v>
      </c>
      <c r="R3" s="63" t="s">
        <v>114</v>
      </c>
      <c r="S3" s="63" t="s">
        <v>114</v>
      </c>
      <c r="T3" s="63" t="s">
        <v>114</v>
      </c>
      <c r="U3" s="63" t="s">
        <v>114</v>
      </c>
      <c r="V3" s="63" t="s">
        <v>114</v>
      </c>
      <c r="W3" s="65" t="s">
        <v>114</v>
      </c>
      <c r="X3" s="63" t="s">
        <v>114</v>
      </c>
      <c r="Y3" s="63" t="s">
        <v>114</v>
      </c>
      <c r="Z3" s="63" t="s">
        <v>114</v>
      </c>
      <c r="AA3" s="63" t="s">
        <v>114</v>
      </c>
      <c r="AB3" s="63" t="s">
        <v>114</v>
      </c>
      <c r="AC3" s="63" t="s">
        <v>114</v>
      </c>
      <c r="AD3" s="65" t="s">
        <v>114</v>
      </c>
    </row>
    <row r="4" spans="2:30" x14ac:dyDescent="0.25">
      <c r="B4" s="4" t="s">
        <v>33</v>
      </c>
      <c r="C4" s="66" t="s">
        <v>360</v>
      </c>
      <c r="D4" s="13" t="s">
        <v>361</v>
      </c>
      <c r="E4" s="13" t="s">
        <v>362</v>
      </c>
      <c r="F4" s="13" t="s">
        <v>345</v>
      </c>
      <c r="G4" s="13" t="s">
        <v>363</v>
      </c>
      <c r="H4" s="13" t="s">
        <v>364</v>
      </c>
      <c r="I4" s="14" t="s">
        <v>365</v>
      </c>
      <c r="J4" s="13" t="s">
        <v>115</v>
      </c>
      <c r="K4" s="13" t="s">
        <v>115</v>
      </c>
      <c r="L4" s="13" t="s">
        <v>115</v>
      </c>
      <c r="M4" s="13" t="s">
        <v>115</v>
      </c>
      <c r="N4" s="13" t="s">
        <v>115</v>
      </c>
      <c r="O4" s="13" t="s">
        <v>115</v>
      </c>
      <c r="P4" s="13" t="s">
        <v>115</v>
      </c>
      <c r="Q4" s="66">
        <v>80.460527265636429</v>
      </c>
      <c r="R4" s="13">
        <v>82.570491759024932</v>
      </c>
      <c r="S4" s="13">
        <v>79.384067311221699</v>
      </c>
      <c r="T4" s="13">
        <v>81.997665295737903</v>
      </c>
      <c r="U4" s="13">
        <v>80.640488655522589</v>
      </c>
      <c r="V4" s="13">
        <v>80.193200678272063</v>
      </c>
      <c r="W4" s="14">
        <v>79.867133486466784</v>
      </c>
      <c r="X4" s="5">
        <v>3</v>
      </c>
      <c r="Y4" s="5">
        <v>3</v>
      </c>
      <c r="Z4" s="5">
        <v>3</v>
      </c>
      <c r="AA4" s="5">
        <v>3</v>
      </c>
      <c r="AB4" s="5">
        <v>1</v>
      </c>
      <c r="AC4" s="5">
        <v>2</v>
      </c>
      <c r="AD4" s="6">
        <v>1</v>
      </c>
    </row>
    <row r="5" spans="2:30" x14ac:dyDescent="0.25">
      <c r="B5" s="4" t="s">
        <v>35</v>
      </c>
      <c r="C5" s="66" t="s">
        <v>366</v>
      </c>
      <c r="D5" s="13" t="s">
        <v>366</v>
      </c>
      <c r="E5" s="13" t="s">
        <v>367</v>
      </c>
      <c r="F5" s="13" t="s">
        <v>367</v>
      </c>
      <c r="G5" s="13" t="s">
        <v>368</v>
      </c>
      <c r="H5" s="13" t="s">
        <v>365</v>
      </c>
      <c r="I5" s="14" t="s">
        <v>364</v>
      </c>
      <c r="J5" s="13" t="s">
        <v>115</v>
      </c>
      <c r="K5" s="13" t="s">
        <v>115</v>
      </c>
      <c r="L5" s="13" t="s">
        <v>115</v>
      </c>
      <c r="M5" s="13" t="s">
        <v>115</v>
      </c>
      <c r="N5" s="13" t="s">
        <v>115</v>
      </c>
      <c r="O5" s="13" t="s">
        <v>115</v>
      </c>
      <c r="P5" s="13" t="s">
        <v>115</v>
      </c>
      <c r="Q5" s="66">
        <v>85.856354816431207</v>
      </c>
      <c r="R5" s="13">
        <v>85.656272610131978</v>
      </c>
      <c r="S5" s="13">
        <v>81.74429796011907</v>
      </c>
      <c r="T5" s="13">
        <v>82.359947839188237</v>
      </c>
      <c r="U5" s="13">
        <v>79.428597775665864</v>
      </c>
      <c r="V5" s="13">
        <v>80.341919473457025</v>
      </c>
      <c r="W5" s="14">
        <v>79.669392774622864</v>
      </c>
      <c r="X5" s="5">
        <v>1</v>
      </c>
      <c r="Y5" s="5">
        <v>1</v>
      </c>
      <c r="Z5" s="5">
        <v>2</v>
      </c>
      <c r="AA5" s="5">
        <v>2</v>
      </c>
      <c r="AB5" s="5">
        <v>2</v>
      </c>
      <c r="AC5" s="5">
        <v>1</v>
      </c>
      <c r="AD5" s="6">
        <v>2</v>
      </c>
    </row>
    <row r="6" spans="2:30" x14ac:dyDescent="0.25">
      <c r="B6" s="4" t="s">
        <v>51</v>
      </c>
      <c r="C6" s="66" t="s">
        <v>369</v>
      </c>
      <c r="D6" s="13" t="s">
        <v>369</v>
      </c>
      <c r="E6" s="13" t="s">
        <v>370</v>
      </c>
      <c r="F6" s="13" t="s">
        <v>370</v>
      </c>
      <c r="G6" s="13" t="s">
        <v>362</v>
      </c>
      <c r="H6" s="13" t="s">
        <v>292</v>
      </c>
      <c r="I6" s="14" t="s">
        <v>292</v>
      </c>
      <c r="J6" s="13" t="s">
        <v>115</v>
      </c>
      <c r="K6" s="13" t="s">
        <v>115</v>
      </c>
      <c r="L6" s="13" t="s">
        <v>115</v>
      </c>
      <c r="M6" s="13" t="s">
        <v>115</v>
      </c>
      <c r="N6" s="13" t="s">
        <v>115</v>
      </c>
      <c r="O6" s="13" t="s">
        <v>115</v>
      </c>
      <c r="P6" s="13" t="s">
        <v>115</v>
      </c>
      <c r="Q6" s="66">
        <v>83.734458333143593</v>
      </c>
      <c r="R6" s="13">
        <v>83.921037593130848</v>
      </c>
      <c r="S6" s="13">
        <v>83.19986360457645</v>
      </c>
      <c r="T6" s="13">
        <v>83.11958912851243</v>
      </c>
      <c r="U6" s="13">
        <v>79.418865992745765</v>
      </c>
      <c r="V6" s="13">
        <v>77.489730094425198</v>
      </c>
      <c r="W6" s="14">
        <v>77.265073774921632</v>
      </c>
      <c r="X6" s="5">
        <v>2</v>
      </c>
      <c r="Y6" s="5">
        <v>2</v>
      </c>
      <c r="Z6" s="5">
        <v>1</v>
      </c>
      <c r="AA6" s="5">
        <v>1</v>
      </c>
      <c r="AB6" s="5">
        <v>3</v>
      </c>
      <c r="AC6" s="5">
        <v>3</v>
      </c>
      <c r="AD6" s="6">
        <v>3</v>
      </c>
    </row>
    <row r="7" spans="2:30" x14ac:dyDescent="0.25">
      <c r="B7" s="4" t="s">
        <v>45</v>
      </c>
      <c r="C7" s="66" t="s">
        <v>371</v>
      </c>
      <c r="D7" s="13" t="s">
        <v>372</v>
      </c>
      <c r="E7" s="13" t="s">
        <v>373</v>
      </c>
      <c r="F7" s="13" t="s">
        <v>336</v>
      </c>
      <c r="G7" s="13" t="s">
        <v>374</v>
      </c>
      <c r="H7" s="13" t="s">
        <v>372</v>
      </c>
      <c r="I7" s="14" t="s">
        <v>373</v>
      </c>
      <c r="J7" s="13" t="s">
        <v>115</v>
      </c>
      <c r="K7" s="13" t="s">
        <v>115</v>
      </c>
      <c r="L7" s="13" t="s">
        <v>115</v>
      </c>
      <c r="M7" s="13" t="s">
        <v>115</v>
      </c>
      <c r="N7" s="13" t="s">
        <v>115</v>
      </c>
      <c r="O7" s="13" t="s">
        <v>115</v>
      </c>
      <c r="P7" s="13" t="s">
        <v>115</v>
      </c>
      <c r="Q7" s="66">
        <v>71.390010101231141</v>
      </c>
      <c r="R7" s="13">
        <v>69.188556625293813</v>
      </c>
      <c r="S7" s="13">
        <v>67.542290981327881</v>
      </c>
      <c r="T7" s="13">
        <v>66.730597073666758</v>
      </c>
      <c r="U7" s="13">
        <v>66.359530491799632</v>
      </c>
      <c r="V7" s="13">
        <v>69.306621572461083</v>
      </c>
      <c r="W7" s="14">
        <v>68.469817361616748</v>
      </c>
      <c r="X7" s="5">
        <v>4</v>
      </c>
      <c r="Y7" s="5">
        <v>4</v>
      </c>
      <c r="Z7" s="5">
        <v>4</v>
      </c>
      <c r="AA7" s="5">
        <v>4</v>
      </c>
      <c r="AB7" s="5">
        <v>4</v>
      </c>
      <c r="AC7" s="5">
        <v>4</v>
      </c>
      <c r="AD7" s="6">
        <v>4</v>
      </c>
    </row>
    <row r="8" spans="2:30" x14ac:dyDescent="0.25">
      <c r="B8" s="4" t="s">
        <v>40</v>
      </c>
      <c r="C8" s="66" t="s">
        <v>169</v>
      </c>
      <c r="D8" s="13" t="s">
        <v>116</v>
      </c>
      <c r="E8" s="13" t="s">
        <v>204</v>
      </c>
      <c r="F8" s="13" t="s">
        <v>375</v>
      </c>
      <c r="G8" s="13" t="s">
        <v>344</v>
      </c>
      <c r="H8" s="13" t="s">
        <v>376</v>
      </c>
      <c r="I8" s="14" t="s">
        <v>377</v>
      </c>
      <c r="J8" s="13" t="s">
        <v>115</v>
      </c>
      <c r="K8" s="13" t="s">
        <v>115</v>
      </c>
      <c r="L8" s="13" t="s">
        <v>115</v>
      </c>
      <c r="M8" s="13" t="s">
        <v>115</v>
      </c>
      <c r="N8" s="13" t="s">
        <v>115</v>
      </c>
      <c r="O8" s="13" t="s">
        <v>115</v>
      </c>
      <c r="P8" s="13" t="s">
        <v>115</v>
      </c>
      <c r="Q8" s="66">
        <v>59.178555458357877</v>
      </c>
      <c r="R8" s="13">
        <v>61.227646295193153</v>
      </c>
      <c r="S8" s="13">
        <v>60.252000882026238</v>
      </c>
      <c r="T8" s="13">
        <v>66.185415660672646</v>
      </c>
      <c r="U8" s="13">
        <v>64.469579401197322</v>
      </c>
      <c r="V8" s="13">
        <v>64.988866995196247</v>
      </c>
      <c r="W8" s="14">
        <v>64.653612256787653</v>
      </c>
      <c r="X8" s="5">
        <v>9</v>
      </c>
      <c r="Y8" s="5">
        <v>9</v>
      </c>
      <c r="Z8" s="5">
        <v>8</v>
      </c>
      <c r="AA8" s="5">
        <v>5</v>
      </c>
      <c r="AB8" s="5">
        <v>6</v>
      </c>
      <c r="AC8" s="5">
        <v>5</v>
      </c>
      <c r="AD8" s="6">
        <v>6</v>
      </c>
    </row>
    <row r="9" spans="2:30" x14ac:dyDescent="0.25">
      <c r="B9" s="4" t="s">
        <v>54</v>
      </c>
      <c r="C9" s="66" t="s">
        <v>214</v>
      </c>
      <c r="D9" s="13" t="s">
        <v>295</v>
      </c>
      <c r="E9" s="13" t="s">
        <v>344</v>
      </c>
      <c r="F9" s="13" t="s">
        <v>116</v>
      </c>
      <c r="G9" s="13" t="s">
        <v>117</v>
      </c>
      <c r="H9" s="13" t="s">
        <v>271</v>
      </c>
      <c r="I9" s="14" t="s">
        <v>375</v>
      </c>
      <c r="J9" s="13" t="s">
        <v>115</v>
      </c>
      <c r="K9" s="13" t="s">
        <v>115</v>
      </c>
      <c r="L9" s="13" t="s">
        <v>115</v>
      </c>
      <c r="M9" s="13" t="s">
        <v>115</v>
      </c>
      <c r="N9" s="13" t="s">
        <v>115</v>
      </c>
      <c r="O9" s="13" t="s">
        <v>115</v>
      </c>
      <c r="P9" s="13" t="s">
        <v>115</v>
      </c>
      <c r="Q9" s="66">
        <v>66.80801208313099</v>
      </c>
      <c r="R9" s="13">
        <v>67.388483929613031</v>
      </c>
      <c r="S9" s="13">
        <v>63.539312305624904</v>
      </c>
      <c r="T9" s="13">
        <v>61.407449374131048</v>
      </c>
      <c r="U9" s="13">
        <v>63.638562877097975</v>
      </c>
      <c r="V9" s="13">
        <v>61.668256621195447</v>
      </c>
      <c r="W9" s="14">
        <v>65.840034578333999</v>
      </c>
      <c r="X9" s="5">
        <v>6</v>
      </c>
      <c r="Y9" s="5">
        <v>5</v>
      </c>
      <c r="Z9" s="5">
        <v>6</v>
      </c>
      <c r="AA9" s="5">
        <v>9</v>
      </c>
      <c r="AB9" s="5">
        <v>7</v>
      </c>
      <c r="AC9" s="5">
        <v>9</v>
      </c>
      <c r="AD9" s="6">
        <v>5</v>
      </c>
    </row>
    <row r="10" spans="2:30" x14ac:dyDescent="0.25">
      <c r="B10" s="4" t="s">
        <v>27</v>
      </c>
      <c r="C10" s="66" t="s">
        <v>378</v>
      </c>
      <c r="D10" s="13" t="s">
        <v>358</v>
      </c>
      <c r="E10" s="13" t="s">
        <v>215</v>
      </c>
      <c r="F10" s="13" t="s">
        <v>213</v>
      </c>
      <c r="G10" s="13" t="s">
        <v>116</v>
      </c>
      <c r="H10" s="13" t="s">
        <v>213</v>
      </c>
      <c r="I10" s="14" t="s">
        <v>117</v>
      </c>
      <c r="J10" s="13" t="s">
        <v>115</v>
      </c>
      <c r="K10" s="13" t="s">
        <v>115</v>
      </c>
      <c r="L10" s="13" t="s">
        <v>115</v>
      </c>
      <c r="M10" s="13" t="s">
        <v>115</v>
      </c>
      <c r="N10" s="13" t="s">
        <v>115</v>
      </c>
      <c r="O10" s="13" t="s">
        <v>115</v>
      </c>
      <c r="P10" s="13" t="s">
        <v>115</v>
      </c>
      <c r="Q10" s="66">
        <v>59.833520577462245</v>
      </c>
      <c r="R10" s="13">
        <v>59.946791687992445</v>
      </c>
      <c r="S10" s="13">
        <v>58.250391210973298</v>
      </c>
      <c r="T10" s="13">
        <v>62.432342169338966</v>
      </c>
      <c r="U10" s="13">
        <v>61.071906141452878</v>
      </c>
      <c r="V10" s="13">
        <v>62.026017387114507</v>
      </c>
      <c r="W10" s="14">
        <v>63.784302374555395</v>
      </c>
      <c r="X10" s="5">
        <v>7</v>
      </c>
      <c r="Y10" s="5">
        <v>10</v>
      </c>
      <c r="Z10" s="5">
        <v>10</v>
      </c>
      <c r="AA10" s="5">
        <v>8</v>
      </c>
      <c r="AB10" s="5">
        <v>9</v>
      </c>
      <c r="AC10" s="5">
        <v>8</v>
      </c>
      <c r="AD10" s="6">
        <v>7</v>
      </c>
    </row>
    <row r="11" spans="2:30" x14ac:dyDescent="0.25">
      <c r="B11" s="4" t="s">
        <v>36</v>
      </c>
      <c r="C11" s="66" t="s">
        <v>295</v>
      </c>
      <c r="D11" s="13" t="s">
        <v>377</v>
      </c>
      <c r="E11" s="13" t="s">
        <v>375</v>
      </c>
      <c r="F11" s="13" t="s">
        <v>344</v>
      </c>
      <c r="G11" s="13" t="s">
        <v>376</v>
      </c>
      <c r="H11" s="13" t="s">
        <v>377</v>
      </c>
      <c r="I11" s="14" t="s">
        <v>216</v>
      </c>
      <c r="J11" s="13" t="s">
        <v>115</v>
      </c>
      <c r="K11" s="13" t="s">
        <v>115</v>
      </c>
      <c r="L11" s="13" t="s">
        <v>115</v>
      </c>
      <c r="M11" s="13" t="s">
        <v>115</v>
      </c>
      <c r="N11" s="13" t="s">
        <v>115</v>
      </c>
      <c r="O11" s="13" t="s">
        <v>115</v>
      </c>
      <c r="P11" s="13" t="s">
        <v>115</v>
      </c>
      <c r="Q11" s="66">
        <v>67.304035167869372</v>
      </c>
      <c r="R11" s="13">
        <v>65.015140237904063</v>
      </c>
      <c r="S11" s="13">
        <v>66.408605513191688</v>
      </c>
      <c r="T11" s="13">
        <v>64.403282535355302</v>
      </c>
      <c r="U11" s="13">
        <v>65.165399617218725</v>
      </c>
      <c r="V11" s="13">
        <v>64.715598778620475</v>
      </c>
      <c r="W11" s="14">
        <v>63.204672189940069</v>
      </c>
      <c r="X11" s="5">
        <v>5</v>
      </c>
      <c r="Y11" s="5">
        <v>6</v>
      </c>
      <c r="Z11" s="5">
        <v>5</v>
      </c>
      <c r="AA11" s="5">
        <v>6</v>
      </c>
      <c r="AB11" s="5">
        <v>5</v>
      </c>
      <c r="AC11" s="5">
        <v>6</v>
      </c>
      <c r="AD11" s="6">
        <v>8</v>
      </c>
    </row>
    <row r="12" spans="2:30" x14ac:dyDescent="0.25">
      <c r="B12" s="4" t="s">
        <v>37</v>
      </c>
      <c r="C12" s="66" t="s">
        <v>204</v>
      </c>
      <c r="D12" s="13" t="s">
        <v>141</v>
      </c>
      <c r="E12" s="13" t="s">
        <v>379</v>
      </c>
      <c r="F12" s="13" t="s">
        <v>179</v>
      </c>
      <c r="G12" s="13" t="s">
        <v>213</v>
      </c>
      <c r="H12" s="13" t="s">
        <v>179</v>
      </c>
      <c r="I12" s="14" t="s">
        <v>271</v>
      </c>
      <c r="J12" s="13" t="s">
        <v>115</v>
      </c>
      <c r="K12" s="13" t="s">
        <v>115</v>
      </c>
      <c r="L12" s="13" t="s">
        <v>115</v>
      </c>
      <c r="M12" s="13" t="s">
        <v>115</v>
      </c>
      <c r="N12" s="13" t="s">
        <v>115</v>
      </c>
      <c r="O12" s="13" t="s">
        <v>115</v>
      </c>
      <c r="P12" s="13" t="s">
        <v>115</v>
      </c>
      <c r="Q12" s="66">
        <v>59.767408142421878</v>
      </c>
      <c r="R12" s="13">
        <v>61.253371754225682</v>
      </c>
      <c r="S12" s="13">
        <v>62.306397309799344</v>
      </c>
      <c r="T12" s="13">
        <v>62.523649374061556</v>
      </c>
      <c r="U12" s="13">
        <v>62.242006556229043</v>
      </c>
      <c r="V12" s="13">
        <v>63.444411477722461</v>
      </c>
      <c r="W12" s="14">
        <v>61.938270339278787</v>
      </c>
      <c r="X12" s="5">
        <v>8</v>
      </c>
      <c r="Y12" s="5">
        <v>8</v>
      </c>
      <c r="Z12" s="5">
        <v>7</v>
      </c>
      <c r="AA12" s="5">
        <v>7</v>
      </c>
      <c r="AB12" s="5">
        <v>8</v>
      </c>
      <c r="AC12" s="5">
        <v>7</v>
      </c>
      <c r="AD12" s="6">
        <v>9</v>
      </c>
    </row>
    <row r="13" spans="2:30" x14ac:dyDescent="0.25">
      <c r="B13" s="4" t="s">
        <v>44</v>
      </c>
      <c r="C13" s="66" t="s">
        <v>142</v>
      </c>
      <c r="D13" s="13" t="s">
        <v>380</v>
      </c>
      <c r="E13" s="13" t="s">
        <v>142</v>
      </c>
      <c r="F13" s="13" t="s">
        <v>262</v>
      </c>
      <c r="G13" s="13" t="s">
        <v>275</v>
      </c>
      <c r="H13" s="13" t="s">
        <v>381</v>
      </c>
      <c r="I13" s="14" t="s">
        <v>215</v>
      </c>
      <c r="J13" s="13" t="s">
        <v>115</v>
      </c>
      <c r="K13" s="13" t="s">
        <v>115</v>
      </c>
      <c r="L13" s="13" t="s">
        <v>115</v>
      </c>
      <c r="M13" s="13" t="s">
        <v>115</v>
      </c>
      <c r="N13" s="13" t="s">
        <v>115</v>
      </c>
      <c r="O13" s="13" t="s">
        <v>115</v>
      </c>
      <c r="P13" s="13" t="s">
        <v>115</v>
      </c>
      <c r="Q13" s="66">
        <v>57.160305235003385</v>
      </c>
      <c r="R13" s="13">
        <v>57.584943327206169</v>
      </c>
      <c r="S13" s="13">
        <v>56.691457763078766</v>
      </c>
      <c r="T13" s="13">
        <v>56.422797642858797</v>
      </c>
      <c r="U13" s="13">
        <v>53.964050488571758</v>
      </c>
      <c r="V13" s="13">
        <v>53.400788943527317</v>
      </c>
      <c r="W13" s="14">
        <v>58.497547471720949</v>
      </c>
      <c r="X13" s="5">
        <v>11</v>
      </c>
      <c r="Y13" s="5">
        <v>11</v>
      </c>
      <c r="Z13" s="5">
        <v>11</v>
      </c>
      <c r="AA13" s="5">
        <v>11</v>
      </c>
      <c r="AB13" s="5">
        <v>11</v>
      </c>
      <c r="AC13" s="5">
        <v>11</v>
      </c>
      <c r="AD13" s="6">
        <v>10</v>
      </c>
    </row>
    <row r="14" spans="2:30" x14ac:dyDescent="0.25">
      <c r="B14" s="4" t="s">
        <v>28</v>
      </c>
      <c r="C14" s="66" t="s">
        <v>341</v>
      </c>
      <c r="D14" s="13" t="s">
        <v>379</v>
      </c>
      <c r="E14" s="13" t="s">
        <v>299</v>
      </c>
      <c r="F14" s="13" t="s">
        <v>341</v>
      </c>
      <c r="G14" s="13" t="s">
        <v>281</v>
      </c>
      <c r="H14" s="13" t="s">
        <v>281</v>
      </c>
      <c r="I14" s="14" t="s">
        <v>142</v>
      </c>
      <c r="J14" s="13" t="s">
        <v>115</v>
      </c>
      <c r="K14" s="13" t="s">
        <v>115</v>
      </c>
      <c r="L14" s="13" t="s">
        <v>115</v>
      </c>
      <c r="M14" s="13" t="s">
        <v>115</v>
      </c>
      <c r="N14" s="13" t="s">
        <v>115</v>
      </c>
      <c r="O14" s="13" t="s">
        <v>115</v>
      </c>
      <c r="P14" s="13" t="s">
        <v>115</v>
      </c>
      <c r="Q14" s="66">
        <v>58.604222116155661</v>
      </c>
      <c r="R14" s="13">
        <v>61.539025552065596</v>
      </c>
      <c r="S14" s="13">
        <v>59.825013651575041</v>
      </c>
      <c r="T14" s="13">
        <v>59.110185135512857</v>
      </c>
      <c r="U14" s="13">
        <v>57.315336485514244</v>
      </c>
      <c r="V14" s="13">
        <v>57.195141680669991</v>
      </c>
      <c r="W14" s="14">
        <v>57.302515400492517</v>
      </c>
      <c r="X14" s="5">
        <v>10</v>
      </c>
      <c r="Y14" s="5">
        <v>7</v>
      </c>
      <c r="Z14" s="5">
        <v>9</v>
      </c>
      <c r="AA14" s="5">
        <v>10</v>
      </c>
      <c r="AB14" s="5">
        <v>10</v>
      </c>
      <c r="AC14" s="5">
        <v>10</v>
      </c>
      <c r="AD14" s="6">
        <v>11</v>
      </c>
    </row>
    <row r="15" spans="2:30" x14ac:dyDescent="0.25">
      <c r="B15" s="4" t="s">
        <v>18</v>
      </c>
      <c r="C15" s="66" t="s">
        <v>382</v>
      </c>
      <c r="D15" s="13" t="s">
        <v>383</v>
      </c>
      <c r="E15" s="13" t="s">
        <v>332</v>
      </c>
      <c r="F15" s="13" t="s">
        <v>384</v>
      </c>
      <c r="G15" s="13" t="s">
        <v>384</v>
      </c>
      <c r="H15" s="13" t="s">
        <v>199</v>
      </c>
      <c r="I15" s="14" t="s">
        <v>206</v>
      </c>
      <c r="J15" s="13" t="s">
        <v>115</v>
      </c>
      <c r="K15" s="13" t="s">
        <v>115</v>
      </c>
      <c r="L15" s="13" t="s">
        <v>115</v>
      </c>
      <c r="M15" s="13" t="s">
        <v>115</v>
      </c>
      <c r="N15" s="13" t="s">
        <v>115</v>
      </c>
      <c r="O15" s="13" t="s">
        <v>115</v>
      </c>
      <c r="P15" s="13" t="s">
        <v>115</v>
      </c>
      <c r="Q15" s="119">
        <v>49.963528161289844</v>
      </c>
      <c r="R15" s="117">
        <v>49.086411674258699</v>
      </c>
      <c r="S15" s="117">
        <v>47.804479886722881</v>
      </c>
      <c r="T15" s="117">
        <v>47.921737798935922</v>
      </c>
      <c r="U15" s="117">
        <v>48.381469785548063</v>
      </c>
      <c r="V15" s="117">
        <v>53.258848414176462</v>
      </c>
      <c r="W15" s="120">
        <v>51.716429120314231</v>
      </c>
      <c r="X15" s="5">
        <v>12</v>
      </c>
      <c r="Y15" s="5">
        <v>12</v>
      </c>
      <c r="Z15" s="5">
        <v>13</v>
      </c>
      <c r="AA15" s="5">
        <v>14</v>
      </c>
      <c r="AB15" s="5">
        <v>14</v>
      </c>
      <c r="AC15" s="5">
        <v>12</v>
      </c>
      <c r="AD15" s="6">
        <v>13</v>
      </c>
    </row>
    <row r="16" spans="2:30" x14ac:dyDescent="0.25">
      <c r="B16" s="4" t="s">
        <v>49</v>
      </c>
      <c r="C16" s="66" t="s">
        <v>322</v>
      </c>
      <c r="D16" s="13" t="s">
        <v>332</v>
      </c>
      <c r="E16" s="13" t="s">
        <v>191</v>
      </c>
      <c r="F16" s="13" t="s">
        <v>212</v>
      </c>
      <c r="G16" s="13" t="s">
        <v>199</v>
      </c>
      <c r="H16" s="13" t="s">
        <v>385</v>
      </c>
      <c r="I16" s="14" t="s">
        <v>386</v>
      </c>
      <c r="J16" s="13" t="s">
        <v>115</v>
      </c>
      <c r="K16" s="13" t="s">
        <v>115</v>
      </c>
      <c r="L16" s="13" t="s">
        <v>115</v>
      </c>
      <c r="M16" s="13" t="s">
        <v>115</v>
      </c>
      <c r="N16" s="13" t="s">
        <v>115</v>
      </c>
      <c r="O16" s="13" t="s">
        <v>115</v>
      </c>
      <c r="P16" s="13" t="s">
        <v>115</v>
      </c>
      <c r="Q16" s="66">
        <v>48.939621009763457</v>
      </c>
      <c r="R16" s="13">
        <v>47.561407053180787</v>
      </c>
      <c r="S16" s="13">
        <v>46.864578039450684</v>
      </c>
      <c r="T16" s="13">
        <v>51.125056716128263</v>
      </c>
      <c r="U16" s="13">
        <v>53.158270558648027</v>
      </c>
      <c r="V16" s="13">
        <v>53.227020286566606</v>
      </c>
      <c r="W16" s="14">
        <v>50.330153665842346</v>
      </c>
      <c r="X16" s="5">
        <v>13</v>
      </c>
      <c r="Y16" s="5">
        <v>13</v>
      </c>
      <c r="Z16" s="5">
        <v>14</v>
      </c>
      <c r="AA16" s="5">
        <v>12</v>
      </c>
      <c r="AB16" s="5">
        <v>12</v>
      </c>
      <c r="AC16" s="5">
        <v>13</v>
      </c>
      <c r="AD16" s="6">
        <v>14</v>
      </c>
    </row>
    <row r="17" spans="2:30" x14ac:dyDescent="0.25">
      <c r="B17" s="4" t="s">
        <v>34</v>
      </c>
      <c r="C17" s="66" t="s">
        <v>387</v>
      </c>
      <c r="D17" s="13" t="s">
        <v>191</v>
      </c>
      <c r="E17" s="13" t="s">
        <v>217</v>
      </c>
      <c r="F17" s="13" t="s">
        <v>322</v>
      </c>
      <c r="G17" s="13" t="s">
        <v>385</v>
      </c>
      <c r="H17" s="13" t="s">
        <v>388</v>
      </c>
      <c r="I17" s="14" t="s">
        <v>158</v>
      </c>
      <c r="J17" s="13" t="s">
        <v>115</v>
      </c>
      <c r="K17" s="13" t="s">
        <v>115</v>
      </c>
      <c r="L17" s="13" t="s">
        <v>115</v>
      </c>
      <c r="M17" s="13" t="s">
        <v>115</v>
      </c>
      <c r="N17" s="13" t="s">
        <v>115</v>
      </c>
      <c r="O17" s="13" t="s">
        <v>115</v>
      </c>
      <c r="P17" s="13" t="s">
        <v>115</v>
      </c>
      <c r="Q17" s="66">
        <v>43.941599234338284</v>
      </c>
      <c r="R17" s="13">
        <v>46.765113568886775</v>
      </c>
      <c r="S17" s="13">
        <v>53.645214635648344</v>
      </c>
      <c r="T17" s="13">
        <v>49.347825207601858</v>
      </c>
      <c r="U17" s="13">
        <v>53.148469793644544</v>
      </c>
      <c r="V17" s="13">
        <v>52.405777907717521</v>
      </c>
      <c r="W17" s="14">
        <v>52.084753307856609</v>
      </c>
      <c r="X17" s="5">
        <v>14</v>
      </c>
      <c r="Y17" s="5">
        <v>14</v>
      </c>
      <c r="Z17" s="5">
        <v>12</v>
      </c>
      <c r="AA17" s="5">
        <v>13</v>
      </c>
      <c r="AB17" s="5">
        <v>13</v>
      </c>
      <c r="AC17" s="5">
        <v>14</v>
      </c>
      <c r="AD17" s="6">
        <v>12</v>
      </c>
    </row>
    <row r="18" spans="2:30" x14ac:dyDescent="0.25">
      <c r="B18" s="4" t="s">
        <v>47</v>
      </c>
      <c r="C18" s="66" t="s">
        <v>200</v>
      </c>
      <c r="D18" s="13" t="s">
        <v>389</v>
      </c>
      <c r="E18" s="13" t="s">
        <v>218</v>
      </c>
      <c r="F18" s="13" t="s">
        <v>390</v>
      </c>
      <c r="G18" s="13" t="s">
        <v>189</v>
      </c>
      <c r="H18" s="13" t="s">
        <v>220</v>
      </c>
      <c r="I18" s="14" t="s">
        <v>391</v>
      </c>
      <c r="J18" s="13" t="s">
        <v>115</v>
      </c>
      <c r="K18" s="13" t="s">
        <v>115</v>
      </c>
      <c r="L18" s="13" t="s">
        <v>115</v>
      </c>
      <c r="M18" s="13" t="s">
        <v>115</v>
      </c>
      <c r="N18" s="13" t="s">
        <v>115</v>
      </c>
      <c r="O18" s="13" t="s">
        <v>115</v>
      </c>
      <c r="P18" s="13" t="s">
        <v>115</v>
      </c>
      <c r="Q18" s="66">
        <v>43.378088079622039</v>
      </c>
      <c r="R18" s="13">
        <v>43.188813829031197</v>
      </c>
      <c r="S18" s="13">
        <v>44.026910610669781</v>
      </c>
      <c r="T18" s="13">
        <v>39.807082152084462</v>
      </c>
      <c r="U18" s="13">
        <v>41.304110455735469</v>
      </c>
      <c r="V18" s="13">
        <v>43.267787631171444</v>
      </c>
      <c r="W18" s="14">
        <v>47.735894980462483</v>
      </c>
      <c r="X18" s="5">
        <v>15</v>
      </c>
      <c r="Y18" s="5">
        <v>16</v>
      </c>
      <c r="Z18" s="5">
        <v>15</v>
      </c>
      <c r="AA18" s="5">
        <v>19</v>
      </c>
      <c r="AB18" s="5">
        <v>17</v>
      </c>
      <c r="AC18" s="5">
        <v>17</v>
      </c>
      <c r="AD18" s="6">
        <v>15</v>
      </c>
    </row>
    <row r="19" spans="2:30" x14ac:dyDescent="0.25">
      <c r="B19" s="4" t="s">
        <v>32</v>
      </c>
      <c r="C19" s="66" t="s">
        <v>392</v>
      </c>
      <c r="D19" s="13" t="s">
        <v>122</v>
      </c>
      <c r="E19" s="13" t="s">
        <v>393</v>
      </c>
      <c r="F19" s="13" t="s">
        <v>184</v>
      </c>
      <c r="G19" s="13" t="s">
        <v>394</v>
      </c>
      <c r="H19" s="13" t="s">
        <v>389</v>
      </c>
      <c r="I19" s="14" t="s">
        <v>185</v>
      </c>
      <c r="J19" s="13" t="s">
        <v>115</v>
      </c>
      <c r="K19" s="13" t="s">
        <v>115</v>
      </c>
      <c r="L19" s="13" t="s">
        <v>115</v>
      </c>
      <c r="M19" s="13" t="s">
        <v>115</v>
      </c>
      <c r="N19" s="13" t="s">
        <v>115</v>
      </c>
      <c r="O19" s="13" t="s">
        <v>115</v>
      </c>
      <c r="P19" s="13" t="s">
        <v>115</v>
      </c>
      <c r="Q19" s="66">
        <v>39.157703599049256</v>
      </c>
      <c r="R19" s="13">
        <v>40.410599913766838</v>
      </c>
      <c r="S19" s="13">
        <v>41.661982838287962</v>
      </c>
      <c r="T19" s="13">
        <v>44.370246746476404</v>
      </c>
      <c r="U19" s="13">
        <v>40.898118148833468</v>
      </c>
      <c r="V19" s="13">
        <v>43.348054961816374</v>
      </c>
      <c r="W19" s="14">
        <v>45.049486070568186</v>
      </c>
      <c r="X19" s="5">
        <v>20</v>
      </c>
      <c r="Y19" s="5">
        <v>17</v>
      </c>
      <c r="Z19" s="5">
        <v>17</v>
      </c>
      <c r="AA19" s="5">
        <v>16</v>
      </c>
      <c r="AB19" s="5">
        <v>18</v>
      </c>
      <c r="AC19" s="5">
        <v>16</v>
      </c>
      <c r="AD19" s="6">
        <v>16</v>
      </c>
    </row>
    <row r="20" spans="2:30" x14ac:dyDescent="0.25">
      <c r="B20" s="4" t="s">
        <v>39</v>
      </c>
      <c r="C20" s="66" t="s">
        <v>189</v>
      </c>
      <c r="D20" s="13" t="s">
        <v>197</v>
      </c>
      <c r="E20" s="13" t="s">
        <v>197</v>
      </c>
      <c r="F20" s="13" t="s">
        <v>235</v>
      </c>
      <c r="G20" s="13" t="s">
        <v>208</v>
      </c>
      <c r="H20" s="13" t="s">
        <v>221</v>
      </c>
      <c r="I20" s="14" t="s">
        <v>393</v>
      </c>
      <c r="J20" s="13" t="s">
        <v>115</v>
      </c>
      <c r="K20" s="13" t="s">
        <v>115</v>
      </c>
      <c r="L20" s="13" t="s">
        <v>115</v>
      </c>
      <c r="M20" s="13" t="s">
        <v>115</v>
      </c>
      <c r="N20" s="13" t="s">
        <v>115</v>
      </c>
      <c r="O20" s="13" t="s">
        <v>115</v>
      </c>
      <c r="P20" s="13" t="s">
        <v>115</v>
      </c>
      <c r="Q20" s="66">
        <v>40.55529739450516</v>
      </c>
      <c r="R20" s="13">
        <v>39.886102093379002</v>
      </c>
      <c r="S20" s="13">
        <v>40.282364383097992</v>
      </c>
      <c r="T20" s="13">
        <v>47.470297488425686</v>
      </c>
      <c r="U20" s="13">
        <v>45.909846989335854</v>
      </c>
      <c r="V20" s="13">
        <v>38.590683694061568</v>
      </c>
      <c r="W20" s="14">
        <v>41.883015524446876</v>
      </c>
      <c r="X20" s="5">
        <v>17</v>
      </c>
      <c r="Y20" s="5">
        <v>18</v>
      </c>
      <c r="Z20" s="5">
        <v>18</v>
      </c>
      <c r="AA20" s="5">
        <v>15</v>
      </c>
      <c r="AB20" s="5">
        <v>15</v>
      </c>
      <c r="AC20" s="5">
        <v>19</v>
      </c>
      <c r="AD20" s="6">
        <v>17</v>
      </c>
    </row>
    <row r="21" spans="2:30" x14ac:dyDescent="0.25">
      <c r="B21" s="4" t="s">
        <v>50</v>
      </c>
      <c r="C21" s="66" t="s">
        <v>197</v>
      </c>
      <c r="D21" s="13" t="s">
        <v>390</v>
      </c>
      <c r="E21" s="13" t="s">
        <v>390</v>
      </c>
      <c r="F21" s="13" t="s">
        <v>394</v>
      </c>
      <c r="G21" s="13" t="s">
        <v>222</v>
      </c>
      <c r="H21" s="13" t="s">
        <v>394</v>
      </c>
      <c r="I21" s="14" t="s">
        <v>394</v>
      </c>
      <c r="J21" s="13" t="s">
        <v>115</v>
      </c>
      <c r="K21" s="13" t="s">
        <v>115</v>
      </c>
      <c r="L21" s="13" t="s">
        <v>115</v>
      </c>
      <c r="M21" s="13" t="s">
        <v>115</v>
      </c>
      <c r="N21" s="13" t="s">
        <v>115</v>
      </c>
      <c r="O21" s="13" t="s">
        <v>115</v>
      </c>
      <c r="P21" s="13" t="s">
        <v>115</v>
      </c>
      <c r="Q21" s="66">
        <v>40.039131709156273</v>
      </c>
      <c r="R21" s="13">
        <v>39.876944030699541</v>
      </c>
      <c r="S21" s="13">
        <v>40.084027004798799</v>
      </c>
      <c r="T21" s="13">
        <v>40.749402196307159</v>
      </c>
      <c r="U21" s="13">
        <v>42.320971329049911</v>
      </c>
      <c r="V21" s="13">
        <v>40.905565799729501</v>
      </c>
      <c r="W21" s="14">
        <v>41.097754038375655</v>
      </c>
      <c r="X21" s="5">
        <v>18</v>
      </c>
      <c r="Y21" s="5">
        <v>19</v>
      </c>
      <c r="Z21" s="5">
        <v>19</v>
      </c>
      <c r="AA21" s="5">
        <v>18</v>
      </c>
      <c r="AB21" s="5">
        <v>16</v>
      </c>
      <c r="AC21" s="5">
        <v>18</v>
      </c>
      <c r="AD21" s="6">
        <v>18</v>
      </c>
    </row>
    <row r="22" spans="2:30" x14ac:dyDescent="0.25">
      <c r="B22" s="4" t="s">
        <v>31</v>
      </c>
      <c r="C22" s="66" t="s">
        <v>324</v>
      </c>
      <c r="D22" s="13" t="s">
        <v>218</v>
      </c>
      <c r="E22" s="13" t="s">
        <v>184</v>
      </c>
      <c r="F22" s="13" t="s">
        <v>393</v>
      </c>
      <c r="G22" s="13" t="s">
        <v>219</v>
      </c>
      <c r="H22" s="13" t="s">
        <v>190</v>
      </c>
      <c r="I22" s="14" t="s">
        <v>390</v>
      </c>
      <c r="J22" s="13" t="s">
        <v>115</v>
      </c>
      <c r="K22" s="13" t="s">
        <v>115</v>
      </c>
      <c r="L22" s="13" t="s">
        <v>115</v>
      </c>
      <c r="M22" s="13" t="s">
        <v>115</v>
      </c>
      <c r="N22" s="13" t="s">
        <v>115</v>
      </c>
      <c r="O22" s="13" t="s">
        <v>115</v>
      </c>
      <c r="P22" s="13" t="s">
        <v>115</v>
      </c>
      <c r="Q22" s="119">
        <v>41.328233878428044</v>
      </c>
      <c r="R22" s="117">
        <v>44.324545830953447</v>
      </c>
      <c r="S22" s="117">
        <v>43.675643893534023</v>
      </c>
      <c r="T22" s="117">
        <v>41.756475563863745</v>
      </c>
      <c r="U22" s="117">
        <v>40.821746006495921</v>
      </c>
      <c r="V22" s="117">
        <v>45.337916759438222</v>
      </c>
      <c r="W22" s="118">
        <v>40.227321515263931</v>
      </c>
      <c r="X22" s="5">
        <v>16</v>
      </c>
      <c r="Y22" s="5">
        <v>15</v>
      </c>
      <c r="Z22" s="5">
        <v>16</v>
      </c>
      <c r="AA22" s="5">
        <v>17</v>
      </c>
      <c r="AB22" s="5">
        <v>19</v>
      </c>
      <c r="AC22" s="5">
        <v>15</v>
      </c>
      <c r="AD22" s="6">
        <v>19</v>
      </c>
    </row>
    <row r="23" spans="2:30" x14ac:dyDescent="0.25">
      <c r="B23" s="4" t="s">
        <v>56</v>
      </c>
      <c r="C23" s="66" t="s">
        <v>395</v>
      </c>
      <c r="D23" s="13" t="s">
        <v>396</v>
      </c>
      <c r="E23" s="13" t="s">
        <v>397</v>
      </c>
      <c r="F23" s="13" t="s">
        <v>398</v>
      </c>
      <c r="G23" s="13" t="s">
        <v>399</v>
      </c>
      <c r="H23" s="13" t="s">
        <v>400</v>
      </c>
      <c r="I23" s="14" t="s">
        <v>392</v>
      </c>
      <c r="J23" s="13" t="s">
        <v>115</v>
      </c>
      <c r="K23" s="13" t="s">
        <v>115</v>
      </c>
      <c r="L23" s="13" t="s">
        <v>115</v>
      </c>
      <c r="M23" s="13" t="s">
        <v>115</v>
      </c>
      <c r="N23" s="13" t="s">
        <v>115</v>
      </c>
      <c r="O23" s="13" t="s">
        <v>115</v>
      </c>
      <c r="P23" s="13" t="s">
        <v>115</v>
      </c>
      <c r="Q23" s="66">
        <v>32.868932597723656</v>
      </c>
      <c r="R23" s="13">
        <v>31.600954152915904</v>
      </c>
      <c r="S23" s="13">
        <v>35.262120889950779</v>
      </c>
      <c r="T23" s="13">
        <v>34.55985140166316</v>
      </c>
      <c r="U23" s="13">
        <v>37.678997025936688</v>
      </c>
      <c r="V23" s="13">
        <v>35.559153420493828</v>
      </c>
      <c r="W23" s="14">
        <v>38.789557793257259</v>
      </c>
      <c r="X23" s="5">
        <v>24</v>
      </c>
      <c r="Y23" s="5">
        <v>24</v>
      </c>
      <c r="Z23" s="5">
        <v>22</v>
      </c>
      <c r="AA23" s="5">
        <v>23</v>
      </c>
      <c r="AB23" s="5">
        <v>21</v>
      </c>
      <c r="AC23" s="5">
        <v>21</v>
      </c>
      <c r="AD23" s="6">
        <v>20</v>
      </c>
    </row>
    <row r="24" spans="2:30" x14ac:dyDescent="0.25">
      <c r="B24" s="4" t="s">
        <v>42</v>
      </c>
      <c r="C24" s="66" t="s">
        <v>398</v>
      </c>
      <c r="D24" s="13" t="s">
        <v>227</v>
      </c>
      <c r="E24" s="13" t="s">
        <v>401</v>
      </c>
      <c r="F24" s="13" t="s">
        <v>402</v>
      </c>
      <c r="G24" s="13" t="s">
        <v>403</v>
      </c>
      <c r="H24" s="13" t="s">
        <v>398</v>
      </c>
      <c r="I24" s="14" t="s">
        <v>400</v>
      </c>
      <c r="J24" s="13" t="s">
        <v>115</v>
      </c>
      <c r="K24" s="13" t="s">
        <v>115</v>
      </c>
      <c r="L24" s="13" t="s">
        <v>115</v>
      </c>
      <c r="M24" s="13" t="s">
        <v>115</v>
      </c>
      <c r="N24" s="13" t="s">
        <v>115</v>
      </c>
      <c r="O24" s="13" t="s">
        <v>115</v>
      </c>
      <c r="P24" s="13" t="s">
        <v>115</v>
      </c>
      <c r="Q24" s="66">
        <v>34.610132444080826</v>
      </c>
      <c r="R24" s="13">
        <v>32.112889931089462</v>
      </c>
      <c r="S24" s="13">
        <v>34.183484343740318</v>
      </c>
      <c r="T24" s="13">
        <v>36.668097497313823</v>
      </c>
      <c r="U24" s="13">
        <v>35.864979569731517</v>
      </c>
      <c r="V24" s="13">
        <v>34.587518417071038</v>
      </c>
      <c r="W24" s="14">
        <v>36.328307358888225</v>
      </c>
      <c r="X24" s="5">
        <v>23</v>
      </c>
      <c r="Y24" s="5">
        <v>23</v>
      </c>
      <c r="Z24" s="5">
        <v>24</v>
      </c>
      <c r="AA24" s="5">
        <v>21</v>
      </c>
      <c r="AB24" s="5">
        <v>23</v>
      </c>
      <c r="AC24" s="5">
        <v>23</v>
      </c>
      <c r="AD24" s="6">
        <v>21</v>
      </c>
    </row>
    <row r="25" spans="2:30" x14ac:dyDescent="0.25">
      <c r="B25" s="4" t="s">
        <v>43</v>
      </c>
      <c r="C25" s="66" t="s">
        <v>390</v>
      </c>
      <c r="D25" s="13" t="s">
        <v>404</v>
      </c>
      <c r="E25" s="13" t="s">
        <v>404</v>
      </c>
      <c r="F25" s="13" t="s">
        <v>405</v>
      </c>
      <c r="G25" s="13" t="s">
        <v>392</v>
      </c>
      <c r="H25" s="13" t="s">
        <v>405</v>
      </c>
      <c r="I25" s="14" t="s">
        <v>397</v>
      </c>
      <c r="J25" s="13" t="s">
        <v>115</v>
      </c>
      <c r="K25" s="13" t="s">
        <v>115</v>
      </c>
      <c r="L25" s="13" t="s">
        <v>115</v>
      </c>
      <c r="M25" s="13" t="s">
        <v>115</v>
      </c>
      <c r="N25" s="13" t="s">
        <v>115</v>
      </c>
      <c r="O25" s="13" t="s">
        <v>115</v>
      </c>
      <c r="P25" s="13" t="s">
        <v>115</v>
      </c>
      <c r="Q25" s="66">
        <v>39.619501156393987</v>
      </c>
      <c r="R25" s="13">
        <v>37.307447271264834</v>
      </c>
      <c r="S25" s="13">
        <v>37.492143325460432</v>
      </c>
      <c r="T25" s="13">
        <v>37.837701676424096</v>
      </c>
      <c r="U25" s="13">
        <v>38.966045418610115</v>
      </c>
      <c r="V25" s="13">
        <v>38.314695791561341</v>
      </c>
      <c r="W25" s="14">
        <v>35.417863872950711</v>
      </c>
      <c r="X25" s="5">
        <v>19</v>
      </c>
      <c r="Y25" s="5">
        <v>20</v>
      </c>
      <c r="Z25" s="5">
        <v>20</v>
      </c>
      <c r="AA25" s="5">
        <v>20</v>
      </c>
      <c r="AB25" s="5">
        <v>20</v>
      </c>
      <c r="AC25" s="5">
        <v>20</v>
      </c>
      <c r="AD25" s="6">
        <v>22</v>
      </c>
    </row>
    <row r="26" spans="2:30" x14ac:dyDescent="0.25">
      <c r="B26" s="4" t="s">
        <v>46</v>
      </c>
      <c r="C26" s="66" t="s">
        <v>402</v>
      </c>
      <c r="D26" s="13" t="s">
        <v>223</v>
      </c>
      <c r="E26" s="13" t="s">
        <v>400</v>
      </c>
      <c r="F26" s="13" t="s">
        <v>397</v>
      </c>
      <c r="G26" s="13" t="s">
        <v>224</v>
      </c>
      <c r="H26" s="13" t="s">
        <v>397</v>
      </c>
      <c r="I26" s="14" t="s">
        <v>398</v>
      </c>
      <c r="J26" s="13" t="s">
        <v>115</v>
      </c>
      <c r="K26" s="13" t="s">
        <v>115</v>
      </c>
      <c r="L26" s="13" t="s">
        <v>115</v>
      </c>
      <c r="M26" s="13" t="s">
        <v>115</v>
      </c>
      <c r="N26" s="13" t="s">
        <v>115</v>
      </c>
      <c r="O26" s="13" t="s">
        <v>115</v>
      </c>
      <c r="P26" s="13" t="s">
        <v>115</v>
      </c>
      <c r="Q26" s="66">
        <v>36.517596853579377</v>
      </c>
      <c r="R26" s="13">
        <v>35.343063636395044</v>
      </c>
      <c r="S26" s="13">
        <v>36.358790408472231</v>
      </c>
      <c r="T26" s="13">
        <v>34.811504789238846</v>
      </c>
      <c r="U26" s="13">
        <v>36.292581715274132</v>
      </c>
      <c r="V26" s="13">
        <v>34.970208109247267</v>
      </c>
      <c r="W26" s="14">
        <v>35.244652281143871</v>
      </c>
      <c r="X26" s="5">
        <v>21</v>
      </c>
      <c r="Y26" s="5">
        <v>21</v>
      </c>
      <c r="Z26" s="5">
        <v>21</v>
      </c>
      <c r="AA26" s="5">
        <v>22</v>
      </c>
      <c r="AB26" s="5">
        <v>22</v>
      </c>
      <c r="AC26" s="5">
        <v>22</v>
      </c>
      <c r="AD26" s="6">
        <v>23</v>
      </c>
    </row>
    <row r="27" spans="2:30" x14ac:dyDescent="0.25">
      <c r="B27" s="4" t="s">
        <v>30</v>
      </c>
      <c r="C27" s="66" t="s">
        <v>406</v>
      </c>
      <c r="D27" s="13" t="s">
        <v>407</v>
      </c>
      <c r="E27" s="13" t="s">
        <v>408</v>
      </c>
      <c r="F27" s="13" t="s">
        <v>409</v>
      </c>
      <c r="G27" s="13" t="s">
        <v>410</v>
      </c>
      <c r="H27" s="13" t="s">
        <v>395</v>
      </c>
      <c r="I27" s="14" t="s">
        <v>407</v>
      </c>
      <c r="J27" s="13" t="s">
        <v>115</v>
      </c>
      <c r="K27" s="13" t="s">
        <v>115</v>
      </c>
      <c r="L27" s="13" t="s">
        <v>115</v>
      </c>
      <c r="M27" s="13" t="s">
        <v>115</v>
      </c>
      <c r="N27" s="13" t="s">
        <v>115</v>
      </c>
      <c r="O27" s="13" t="s">
        <v>115</v>
      </c>
      <c r="P27" s="13" t="s">
        <v>115</v>
      </c>
      <c r="Q27" s="119">
        <v>28.033663791072115</v>
      </c>
      <c r="R27" s="117">
        <v>30.781269368131149</v>
      </c>
      <c r="S27" s="117">
        <v>32.753545194987915</v>
      </c>
      <c r="T27" s="117">
        <v>29.515359117651791</v>
      </c>
      <c r="U27" s="117">
        <v>30.834458859447352</v>
      </c>
      <c r="V27" s="117">
        <v>33.187452283067827</v>
      </c>
      <c r="W27" s="118">
        <v>31.434980206875593</v>
      </c>
      <c r="X27" s="5">
        <v>26</v>
      </c>
      <c r="Y27" s="5">
        <v>25</v>
      </c>
      <c r="Z27" s="5">
        <v>25</v>
      </c>
      <c r="AA27" s="5">
        <v>25</v>
      </c>
      <c r="AB27" s="5">
        <v>24</v>
      </c>
      <c r="AC27" s="5">
        <v>24</v>
      </c>
      <c r="AD27" s="6">
        <v>25</v>
      </c>
    </row>
    <row r="28" spans="2:30" x14ac:dyDescent="0.25">
      <c r="B28" s="4" t="s">
        <v>38</v>
      </c>
      <c r="C28" s="66" t="s">
        <v>411</v>
      </c>
      <c r="D28" s="13" t="s">
        <v>412</v>
      </c>
      <c r="E28" s="13" t="s">
        <v>412</v>
      </c>
      <c r="F28" s="13" t="s">
        <v>412</v>
      </c>
      <c r="G28" s="13" t="s">
        <v>406</v>
      </c>
      <c r="H28" s="13" t="s">
        <v>406</v>
      </c>
      <c r="I28" s="14" t="s">
        <v>413</v>
      </c>
      <c r="J28" s="13" t="s">
        <v>115</v>
      </c>
      <c r="K28" s="13" t="s">
        <v>115</v>
      </c>
      <c r="L28" s="13" t="s">
        <v>115</v>
      </c>
      <c r="M28" s="13" t="s">
        <v>115</v>
      </c>
      <c r="N28" s="13" t="s">
        <v>115</v>
      </c>
      <c r="O28" s="13" t="s">
        <v>115</v>
      </c>
      <c r="P28" s="13" t="s">
        <v>115</v>
      </c>
      <c r="Q28" s="119">
        <v>29.124737024376842</v>
      </c>
      <c r="R28" s="117">
        <v>29.357237909841992</v>
      </c>
      <c r="S28" s="117">
        <v>28.98536165860596</v>
      </c>
      <c r="T28" s="117">
        <v>29.247181011445889</v>
      </c>
      <c r="U28" s="117">
        <v>28.029934948656457</v>
      </c>
      <c r="V28" s="117">
        <v>27.70768603201007</v>
      </c>
      <c r="W28" s="118">
        <v>30.901294727078959</v>
      </c>
      <c r="X28" s="5">
        <v>25</v>
      </c>
      <c r="Y28" s="5">
        <v>26</v>
      </c>
      <c r="Z28" s="5">
        <v>26</v>
      </c>
      <c r="AA28" s="5">
        <v>26</v>
      </c>
      <c r="AB28" s="5">
        <v>26</v>
      </c>
      <c r="AC28" s="5">
        <v>26</v>
      </c>
      <c r="AD28" s="6">
        <v>26</v>
      </c>
    </row>
    <row r="29" spans="2:30" x14ac:dyDescent="0.25">
      <c r="B29" s="4" t="s">
        <v>41</v>
      </c>
      <c r="C29" s="66" t="s">
        <v>224</v>
      </c>
      <c r="D29" s="13" t="s">
        <v>414</v>
      </c>
      <c r="E29" s="13" t="s">
        <v>398</v>
      </c>
      <c r="F29" s="13" t="s">
        <v>396</v>
      </c>
      <c r="G29" s="13" t="s">
        <v>409</v>
      </c>
      <c r="H29" s="13" t="s">
        <v>408</v>
      </c>
      <c r="I29" s="14" t="s">
        <v>396</v>
      </c>
      <c r="J29" s="13" t="s">
        <v>115</v>
      </c>
      <c r="K29" s="13" t="s">
        <v>115</v>
      </c>
      <c r="L29" s="13" t="s">
        <v>115</v>
      </c>
      <c r="M29" s="13" t="s">
        <v>115</v>
      </c>
      <c r="N29" s="13" t="s">
        <v>115</v>
      </c>
      <c r="O29" s="13" t="s">
        <v>115</v>
      </c>
      <c r="P29" s="13" t="s">
        <v>115</v>
      </c>
      <c r="Q29" s="66">
        <v>36.156983108738054</v>
      </c>
      <c r="R29" s="13">
        <v>34.162056006093032</v>
      </c>
      <c r="S29" s="13">
        <v>35.015513917202888</v>
      </c>
      <c r="T29" s="13">
        <v>32.159296517262064</v>
      </c>
      <c r="U29" s="13">
        <v>30.205932821518445</v>
      </c>
      <c r="V29" s="13">
        <v>33.112188345963936</v>
      </c>
      <c r="W29" s="14">
        <v>31.872607582595467</v>
      </c>
      <c r="X29" s="5">
        <v>22</v>
      </c>
      <c r="Y29" s="5">
        <v>22</v>
      </c>
      <c r="Z29" s="5">
        <v>23</v>
      </c>
      <c r="AA29" s="5">
        <v>24</v>
      </c>
      <c r="AB29" s="5">
        <v>25</v>
      </c>
      <c r="AC29" s="5">
        <v>25</v>
      </c>
      <c r="AD29" s="6">
        <v>24</v>
      </c>
    </row>
    <row r="30" spans="2:30" x14ac:dyDescent="0.25">
      <c r="B30" s="4" t="s">
        <v>29</v>
      </c>
      <c r="C30" s="66" t="s">
        <v>415</v>
      </c>
      <c r="D30" s="13" t="s">
        <v>416</v>
      </c>
      <c r="E30" s="13" t="s">
        <v>417</v>
      </c>
      <c r="F30" s="13" t="s">
        <v>418</v>
      </c>
      <c r="G30" s="13" t="s">
        <v>419</v>
      </c>
      <c r="H30" s="13" t="s">
        <v>420</v>
      </c>
      <c r="I30" s="14" t="s">
        <v>421</v>
      </c>
      <c r="J30" s="13" t="s">
        <v>115</v>
      </c>
      <c r="K30" s="13" t="s">
        <v>115</v>
      </c>
      <c r="L30" s="13" t="s">
        <v>115</v>
      </c>
      <c r="M30" s="13" t="s">
        <v>115</v>
      </c>
      <c r="N30" s="13" t="s">
        <v>115</v>
      </c>
      <c r="O30" s="13" t="s">
        <v>115</v>
      </c>
      <c r="P30" s="13" t="s">
        <v>115</v>
      </c>
      <c r="Q30" s="66">
        <v>23.485007873711979</v>
      </c>
      <c r="R30" s="13">
        <v>21.718413964645986</v>
      </c>
      <c r="S30" s="13">
        <v>23.518457254111617</v>
      </c>
      <c r="T30" s="13">
        <v>22.243368256294225</v>
      </c>
      <c r="U30" s="13">
        <v>20.643965786358716</v>
      </c>
      <c r="V30" s="13">
        <v>24.603112546271717</v>
      </c>
      <c r="W30" s="14">
        <v>19.218375634929625</v>
      </c>
      <c r="X30" s="5">
        <v>28</v>
      </c>
      <c r="Y30" s="5">
        <v>28</v>
      </c>
      <c r="Z30" s="5">
        <v>28</v>
      </c>
      <c r="AA30" s="5">
        <v>27</v>
      </c>
      <c r="AB30" s="5">
        <v>28</v>
      </c>
      <c r="AC30" s="5">
        <v>27</v>
      </c>
      <c r="AD30" s="6">
        <v>27</v>
      </c>
    </row>
    <row r="31" spans="2:30" ht="15.75" thickBot="1" x14ac:dyDescent="0.3">
      <c r="B31" s="7" t="s">
        <v>48</v>
      </c>
      <c r="C31" s="67" t="s">
        <v>422</v>
      </c>
      <c r="D31" s="15" t="s">
        <v>423</v>
      </c>
      <c r="E31" s="15" t="s">
        <v>424</v>
      </c>
      <c r="F31" s="15" t="s">
        <v>419</v>
      </c>
      <c r="G31" s="15" t="s">
        <v>425</v>
      </c>
      <c r="H31" s="15" t="s">
        <v>426</v>
      </c>
      <c r="I31" s="16" t="s">
        <v>426</v>
      </c>
      <c r="J31" s="15" t="s">
        <v>115</v>
      </c>
      <c r="K31" s="15" t="s">
        <v>115</v>
      </c>
      <c r="L31" s="15" t="s">
        <v>115</v>
      </c>
      <c r="M31" s="15" t="s">
        <v>115</v>
      </c>
      <c r="N31" s="15" t="s">
        <v>115</v>
      </c>
      <c r="O31" s="15" t="s">
        <v>115</v>
      </c>
      <c r="P31" s="15" t="s">
        <v>115</v>
      </c>
      <c r="Q31" s="67">
        <v>24.499365605468515</v>
      </c>
      <c r="R31" s="15">
        <v>26.871607380620318</v>
      </c>
      <c r="S31" s="15">
        <v>27.919657734661172</v>
      </c>
      <c r="T31" s="15">
        <v>21.423155304063052</v>
      </c>
      <c r="U31" s="15">
        <v>23.427238612458638</v>
      </c>
      <c r="V31" s="15">
        <v>19.056197445120681</v>
      </c>
      <c r="W31" s="16">
        <v>18.952267932768002</v>
      </c>
      <c r="X31" s="8">
        <v>27</v>
      </c>
      <c r="Y31" s="8">
        <v>27</v>
      </c>
      <c r="Z31" s="8">
        <v>27</v>
      </c>
      <c r="AA31" s="8">
        <v>28</v>
      </c>
      <c r="AB31" s="8">
        <v>27</v>
      </c>
      <c r="AC31" s="8">
        <v>28</v>
      </c>
      <c r="AD31" s="9">
        <v>28</v>
      </c>
    </row>
    <row r="32" spans="2:30" s="5" customFormat="1" x14ac:dyDescent="0.25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</row>
    <row r="33" spans="2:30" ht="15.75" thickBot="1" x14ac:dyDescent="0.3">
      <c r="S33" s="72"/>
      <c r="U33" s="72"/>
    </row>
    <row r="34" spans="2:30" ht="15.75" thickBot="1" x14ac:dyDescent="0.3">
      <c r="B34" s="68" t="s">
        <v>52</v>
      </c>
      <c r="C34" s="139" t="s">
        <v>68</v>
      </c>
      <c r="D34" s="140"/>
      <c r="E34" s="140"/>
      <c r="F34" s="140"/>
      <c r="G34" s="140"/>
      <c r="H34" s="140"/>
      <c r="I34" s="141"/>
      <c r="J34" s="139" t="s">
        <v>109</v>
      </c>
      <c r="K34" s="140"/>
      <c r="L34" s="140"/>
      <c r="M34" s="140"/>
      <c r="N34" s="140"/>
      <c r="O34" s="140"/>
      <c r="P34" s="141"/>
      <c r="Q34" s="139" t="s">
        <v>68</v>
      </c>
      <c r="R34" s="140"/>
      <c r="S34" s="140"/>
      <c r="T34" s="140"/>
      <c r="U34" s="140"/>
      <c r="V34" s="140"/>
      <c r="W34" s="141"/>
      <c r="X34" s="139" t="s">
        <v>69</v>
      </c>
      <c r="Y34" s="140"/>
      <c r="Z34" s="140"/>
      <c r="AA34" s="140"/>
      <c r="AB34" s="140"/>
      <c r="AC34" s="140"/>
      <c r="AD34" s="141"/>
    </row>
    <row r="35" spans="2:30" x14ac:dyDescent="0.25">
      <c r="B35" s="68"/>
      <c r="C35" s="1">
        <v>2009</v>
      </c>
      <c r="D35" s="2">
        <v>2010</v>
      </c>
      <c r="E35" s="2">
        <v>2011</v>
      </c>
      <c r="F35" s="2">
        <v>2012</v>
      </c>
      <c r="G35" s="2">
        <v>2013</v>
      </c>
      <c r="H35" s="2">
        <v>2014</v>
      </c>
      <c r="I35" s="3">
        <v>2015</v>
      </c>
      <c r="J35" s="2">
        <v>2009</v>
      </c>
      <c r="K35" s="2">
        <v>2010</v>
      </c>
      <c r="L35" s="2">
        <v>2011</v>
      </c>
      <c r="M35" s="2">
        <v>2012</v>
      </c>
      <c r="N35" s="2">
        <v>2013</v>
      </c>
      <c r="O35" s="2">
        <v>2014</v>
      </c>
      <c r="P35" s="2">
        <v>2015</v>
      </c>
      <c r="Q35" s="1">
        <v>2009</v>
      </c>
      <c r="R35" s="2">
        <v>2010</v>
      </c>
      <c r="S35" s="2">
        <v>2011</v>
      </c>
      <c r="T35" s="2">
        <v>2012</v>
      </c>
      <c r="U35" s="2">
        <v>2013</v>
      </c>
      <c r="V35" s="2">
        <v>2014</v>
      </c>
      <c r="W35" s="3">
        <v>2015</v>
      </c>
      <c r="X35" s="2">
        <v>2009</v>
      </c>
      <c r="Y35" s="2">
        <v>2010</v>
      </c>
      <c r="Z35" s="2">
        <v>2011</v>
      </c>
      <c r="AA35" s="2">
        <v>2012</v>
      </c>
      <c r="AB35" s="2">
        <v>2013</v>
      </c>
      <c r="AC35" s="2">
        <v>2014</v>
      </c>
      <c r="AD35" s="3">
        <v>2015</v>
      </c>
    </row>
    <row r="36" spans="2:30" x14ac:dyDescent="0.25">
      <c r="B36" s="69" t="s">
        <v>52</v>
      </c>
      <c r="C36" s="64">
        <v>2007</v>
      </c>
      <c r="D36" s="63">
        <v>2008</v>
      </c>
      <c r="E36" s="63">
        <v>2009</v>
      </c>
      <c r="F36" s="63">
        <v>2010</v>
      </c>
      <c r="G36" s="63">
        <v>2011</v>
      </c>
      <c r="H36" s="63">
        <v>2012</v>
      </c>
      <c r="I36" s="65">
        <v>2013</v>
      </c>
      <c r="J36" s="63">
        <v>2007</v>
      </c>
      <c r="K36" s="63">
        <v>2008</v>
      </c>
      <c r="L36" s="63">
        <v>2009</v>
      </c>
      <c r="M36" s="63">
        <v>2010</v>
      </c>
      <c r="N36" s="63">
        <v>2011</v>
      </c>
      <c r="O36" s="63">
        <v>2012</v>
      </c>
      <c r="P36" s="63">
        <v>2013</v>
      </c>
      <c r="Q36" s="64">
        <v>2007</v>
      </c>
      <c r="R36" s="63">
        <v>2008</v>
      </c>
      <c r="S36" s="63">
        <v>2009</v>
      </c>
      <c r="T36" s="63">
        <v>2010</v>
      </c>
      <c r="U36" s="63">
        <v>2011</v>
      </c>
      <c r="V36" s="63">
        <v>2012</v>
      </c>
      <c r="W36" s="65">
        <v>2013</v>
      </c>
      <c r="X36" s="63">
        <v>2007</v>
      </c>
      <c r="Y36" s="63">
        <v>2008</v>
      </c>
      <c r="Z36" s="63">
        <v>2009</v>
      </c>
      <c r="AA36" s="63">
        <v>2010</v>
      </c>
      <c r="AB36" s="63">
        <v>2011</v>
      </c>
      <c r="AC36" s="63">
        <v>2012</v>
      </c>
      <c r="AD36" s="65">
        <v>2013</v>
      </c>
    </row>
    <row r="37" spans="2:30" x14ac:dyDescent="0.25">
      <c r="B37" s="4" t="s">
        <v>27</v>
      </c>
      <c r="C37" s="66" t="s">
        <v>427</v>
      </c>
      <c r="D37" s="13" t="s">
        <v>175</v>
      </c>
      <c r="E37" s="13" t="s">
        <v>428</v>
      </c>
      <c r="F37" s="13" t="s">
        <v>176</v>
      </c>
      <c r="G37" s="13" t="s">
        <v>429</v>
      </c>
      <c r="H37" s="13" t="s">
        <v>177</v>
      </c>
      <c r="I37" s="14" t="s">
        <v>177</v>
      </c>
      <c r="J37" s="12">
        <v>2.4300000000000002</v>
      </c>
      <c r="K37" s="12">
        <v>2.59</v>
      </c>
      <c r="L37" s="12">
        <v>2.61</v>
      </c>
      <c r="M37" s="12">
        <v>2.74</v>
      </c>
      <c r="N37" s="12">
        <v>2.68</v>
      </c>
      <c r="O37" s="12">
        <v>2.81</v>
      </c>
      <c r="P37" s="12">
        <v>2.81</v>
      </c>
      <c r="Q37" s="66">
        <v>82.457789476251179</v>
      </c>
      <c r="R37" s="13">
        <v>82.605398099607257</v>
      </c>
      <c r="S37" s="13">
        <v>79.881211144244844</v>
      </c>
      <c r="T37" s="13">
        <v>84.1864475289496</v>
      </c>
      <c r="U37" s="13">
        <v>80.51176824009346</v>
      </c>
      <c r="V37" s="13">
        <v>83.703632655157804</v>
      </c>
      <c r="W37" s="14">
        <v>84.325341229714581</v>
      </c>
      <c r="X37" s="5">
        <v>5</v>
      </c>
      <c r="Y37" s="5">
        <v>5</v>
      </c>
      <c r="Z37" s="5">
        <v>5</v>
      </c>
      <c r="AA37" s="5">
        <v>4</v>
      </c>
      <c r="AB37" s="5">
        <v>5</v>
      </c>
      <c r="AC37" s="5">
        <v>5</v>
      </c>
      <c r="AD37" s="6">
        <v>5</v>
      </c>
    </row>
    <row r="38" spans="2:30" x14ac:dyDescent="0.25">
      <c r="B38" s="4" t="s">
        <v>28</v>
      </c>
      <c r="C38" s="66" t="s">
        <v>178</v>
      </c>
      <c r="D38" s="13" t="s">
        <v>117</v>
      </c>
      <c r="E38" s="13" t="s">
        <v>179</v>
      </c>
      <c r="F38" s="13" t="s">
        <v>430</v>
      </c>
      <c r="G38" s="13" t="s">
        <v>431</v>
      </c>
      <c r="H38" s="13" t="s">
        <v>432</v>
      </c>
      <c r="I38" s="14" t="s">
        <v>433</v>
      </c>
      <c r="J38" s="12">
        <v>1.84</v>
      </c>
      <c r="K38" s="12">
        <v>1.92</v>
      </c>
      <c r="L38" s="12">
        <v>1.97</v>
      </c>
      <c r="M38" s="12">
        <v>2.0499999999999998</v>
      </c>
      <c r="N38" s="12">
        <v>2.15</v>
      </c>
      <c r="O38" s="12">
        <v>2.2400000000000002</v>
      </c>
      <c r="P38" s="12">
        <v>2.2799999999999998</v>
      </c>
      <c r="Q38" s="66">
        <v>64.584366737995538</v>
      </c>
      <c r="R38" s="13">
        <v>63.591494824859602</v>
      </c>
      <c r="S38" s="13">
        <v>62.546432778920547</v>
      </c>
      <c r="T38" s="13">
        <v>64.868454950438149</v>
      </c>
      <c r="U38" s="13">
        <v>65.767559816681313</v>
      </c>
      <c r="V38" s="13">
        <v>67.722944087828097</v>
      </c>
      <c r="W38" s="14">
        <v>69.240275921327239</v>
      </c>
      <c r="X38" s="5">
        <v>7</v>
      </c>
      <c r="Y38" s="5">
        <v>7</v>
      </c>
      <c r="Z38" s="5">
        <v>7</v>
      </c>
      <c r="AA38" s="5">
        <v>8</v>
      </c>
      <c r="AB38" s="5">
        <v>9</v>
      </c>
      <c r="AC38" s="5">
        <v>7</v>
      </c>
      <c r="AD38" s="6">
        <v>7</v>
      </c>
    </row>
    <row r="39" spans="2:30" x14ac:dyDescent="0.25">
      <c r="B39" s="4" t="s">
        <v>29</v>
      </c>
      <c r="C39" s="66" t="s">
        <v>418</v>
      </c>
      <c r="D39" s="13" t="s">
        <v>434</v>
      </c>
      <c r="E39" s="13" t="s">
        <v>348</v>
      </c>
      <c r="F39" s="13" t="s">
        <v>435</v>
      </c>
      <c r="G39" s="13" t="s">
        <v>436</v>
      </c>
      <c r="H39" s="13" t="s">
        <v>434</v>
      </c>
      <c r="I39" s="14" t="s">
        <v>180</v>
      </c>
      <c r="J39" s="12">
        <v>0.44</v>
      </c>
      <c r="K39" s="12">
        <v>0.46</v>
      </c>
      <c r="L39" s="12">
        <v>0.51</v>
      </c>
      <c r="M39" s="12">
        <v>0.59</v>
      </c>
      <c r="N39" s="12">
        <v>0.55000000000000004</v>
      </c>
      <c r="O39" s="12">
        <v>0.62</v>
      </c>
      <c r="P39" s="12">
        <v>0.65</v>
      </c>
      <c r="Q39" s="66">
        <v>22.172855155694027</v>
      </c>
      <c r="R39" s="13">
        <v>22.15821306197665</v>
      </c>
      <c r="S39" s="13">
        <v>23.001469633024492</v>
      </c>
      <c r="T39" s="13">
        <v>23.992702537935688</v>
      </c>
      <c r="U39" s="13">
        <v>21.256741934682381</v>
      </c>
      <c r="V39" s="13">
        <v>22.304145001733062</v>
      </c>
      <c r="W39" s="14">
        <v>22.846584501192581</v>
      </c>
      <c r="X39" s="5">
        <v>27</v>
      </c>
      <c r="Y39" s="5">
        <v>26</v>
      </c>
      <c r="Z39" s="5">
        <v>24</v>
      </c>
      <c r="AA39" s="5">
        <v>26</v>
      </c>
      <c r="AB39" s="5">
        <v>26</v>
      </c>
      <c r="AC39" s="5">
        <v>26</v>
      </c>
      <c r="AD39" s="6">
        <v>25</v>
      </c>
    </row>
    <row r="40" spans="2:30" x14ac:dyDescent="0.25">
      <c r="B40" s="4" t="s">
        <v>30</v>
      </c>
      <c r="C40" s="66" t="s">
        <v>159</v>
      </c>
      <c r="D40" s="13" t="s">
        <v>181</v>
      </c>
      <c r="E40" s="13" t="s">
        <v>165</v>
      </c>
      <c r="F40" s="13" t="s">
        <v>316</v>
      </c>
      <c r="G40" s="13" t="s">
        <v>339</v>
      </c>
      <c r="H40" s="13" t="s">
        <v>182</v>
      </c>
      <c r="I40" s="14" t="s">
        <v>171</v>
      </c>
      <c r="J40" s="12">
        <v>0.79</v>
      </c>
      <c r="K40" s="12">
        <v>0.88</v>
      </c>
      <c r="L40" s="12">
        <v>0.84</v>
      </c>
      <c r="M40" s="12">
        <v>0.74</v>
      </c>
      <c r="N40" s="12">
        <v>0.75</v>
      </c>
      <c r="O40" s="12">
        <v>0.75</v>
      </c>
      <c r="P40" s="12">
        <v>0.81</v>
      </c>
      <c r="Q40" s="66">
        <v>32.775733051269405</v>
      </c>
      <c r="R40" s="13">
        <v>34.077376308833394</v>
      </c>
      <c r="S40" s="13">
        <v>31.93971472764483</v>
      </c>
      <c r="T40" s="13">
        <v>28.192266141959916</v>
      </c>
      <c r="U40" s="13">
        <v>26.820594169932249</v>
      </c>
      <c r="V40" s="13">
        <v>25.948863446913528</v>
      </c>
      <c r="W40" s="14">
        <v>27.400566481083104</v>
      </c>
      <c r="X40" s="5">
        <v>20</v>
      </c>
      <c r="Y40" s="5">
        <v>19</v>
      </c>
      <c r="Z40" s="5">
        <v>19</v>
      </c>
      <c r="AA40" s="5">
        <v>20</v>
      </c>
      <c r="AB40" s="5">
        <v>20</v>
      </c>
      <c r="AC40" s="5">
        <v>23</v>
      </c>
      <c r="AD40" s="6">
        <v>23</v>
      </c>
    </row>
    <row r="41" spans="2:30" x14ac:dyDescent="0.25">
      <c r="B41" s="4" t="s">
        <v>31</v>
      </c>
      <c r="C41" s="66" t="s">
        <v>419</v>
      </c>
      <c r="D41" s="13" t="s">
        <v>437</v>
      </c>
      <c r="E41" s="13" t="s">
        <v>438</v>
      </c>
      <c r="F41" s="13" t="s">
        <v>172</v>
      </c>
      <c r="G41" s="13" t="s">
        <v>426</v>
      </c>
      <c r="H41" s="13" t="s">
        <v>439</v>
      </c>
      <c r="I41" s="14" t="s">
        <v>183</v>
      </c>
      <c r="J41" s="12">
        <v>0.4</v>
      </c>
      <c r="K41" s="12">
        <v>0.39</v>
      </c>
      <c r="L41" s="12">
        <v>0.45</v>
      </c>
      <c r="M41" s="12">
        <v>0.45</v>
      </c>
      <c r="N41" s="12">
        <v>0.46</v>
      </c>
      <c r="O41" s="12">
        <v>0.43</v>
      </c>
      <c r="P41" s="12">
        <v>0.48</v>
      </c>
      <c r="Q41" s="66">
        <v>20.96109768191398</v>
      </c>
      <c r="R41" s="13">
        <v>20.171685854167194</v>
      </c>
      <c r="S41" s="13">
        <v>21.376334161275334</v>
      </c>
      <c r="T41" s="13">
        <v>20.073109840846413</v>
      </c>
      <c r="U41" s="13">
        <v>18.753008428819946</v>
      </c>
      <c r="V41" s="13">
        <v>16.977248812623152</v>
      </c>
      <c r="W41" s="14">
        <v>18.007978647558904</v>
      </c>
      <c r="X41" s="5">
        <v>28</v>
      </c>
      <c r="Y41" s="5">
        <v>28</v>
      </c>
      <c r="Z41" s="5">
        <v>27</v>
      </c>
      <c r="AA41" s="5">
        <v>27</v>
      </c>
      <c r="AB41" s="5">
        <v>28</v>
      </c>
      <c r="AC41" s="5">
        <v>28</v>
      </c>
      <c r="AD41" s="6">
        <v>27</v>
      </c>
    </row>
    <row r="42" spans="2:30" x14ac:dyDescent="0.25">
      <c r="B42" s="4" t="s">
        <v>32</v>
      </c>
      <c r="C42" s="66" t="s">
        <v>383</v>
      </c>
      <c r="D42" s="13" t="s">
        <v>184</v>
      </c>
      <c r="E42" s="13" t="s">
        <v>184</v>
      </c>
      <c r="F42" s="13" t="s">
        <v>185</v>
      </c>
      <c r="G42" s="13" t="s">
        <v>383</v>
      </c>
      <c r="H42" s="13" t="s">
        <v>160</v>
      </c>
      <c r="I42" s="14" t="s">
        <v>341</v>
      </c>
      <c r="J42" s="12">
        <v>1.31</v>
      </c>
      <c r="K42" s="12">
        <v>1.24</v>
      </c>
      <c r="L42" s="12">
        <v>1.3</v>
      </c>
      <c r="M42" s="12">
        <v>1.34</v>
      </c>
      <c r="N42" s="12">
        <v>1.56</v>
      </c>
      <c r="O42" s="12">
        <v>1.79</v>
      </c>
      <c r="P42" s="12">
        <v>1.91</v>
      </c>
      <c r="Q42" s="66">
        <v>48.528580210409963</v>
      </c>
      <c r="R42" s="13">
        <v>44.293801948996311</v>
      </c>
      <c r="S42" s="13">
        <v>44.39908667772167</v>
      </c>
      <c r="T42" s="13">
        <v>44.990520558056822</v>
      </c>
      <c r="U42" s="13">
        <v>49.354195722694207</v>
      </c>
      <c r="V42" s="13">
        <v>55.106611008357248</v>
      </c>
      <c r="W42" s="14">
        <v>58.709192592830419</v>
      </c>
      <c r="X42" s="5">
        <v>12</v>
      </c>
      <c r="Y42" s="5">
        <v>16</v>
      </c>
      <c r="Z42" s="5">
        <v>16</v>
      </c>
      <c r="AA42" s="5">
        <v>16</v>
      </c>
      <c r="AB42" s="5">
        <v>12</v>
      </c>
      <c r="AC42" s="5">
        <v>11</v>
      </c>
      <c r="AD42" s="6">
        <v>10</v>
      </c>
    </row>
    <row r="43" spans="2:30" x14ac:dyDescent="0.25">
      <c r="B43" s="4" t="s">
        <v>33</v>
      </c>
      <c r="C43" s="66" t="s">
        <v>440</v>
      </c>
      <c r="D43" s="13" t="s">
        <v>186</v>
      </c>
      <c r="E43" s="13" t="s">
        <v>187</v>
      </c>
      <c r="F43" s="13" t="s">
        <v>188</v>
      </c>
      <c r="G43" s="13" t="s">
        <v>441</v>
      </c>
      <c r="H43" s="13" t="s">
        <v>188</v>
      </c>
      <c r="I43" s="14" t="s">
        <v>442</v>
      </c>
      <c r="J43" s="12">
        <v>2.5099999999999998</v>
      </c>
      <c r="K43" s="12">
        <v>2.78</v>
      </c>
      <c r="L43" s="12">
        <v>3.07</v>
      </c>
      <c r="M43" s="12">
        <v>2.94</v>
      </c>
      <c r="N43" s="12">
        <v>2.97</v>
      </c>
      <c r="O43" s="12">
        <v>3.02</v>
      </c>
      <c r="P43" s="12">
        <v>3.06</v>
      </c>
      <c r="Q43" s="66">
        <v>84.881304423811258</v>
      </c>
      <c r="R43" s="13">
        <v>87.997400520804348</v>
      </c>
      <c r="S43" s="13">
        <v>92.340583094321687</v>
      </c>
      <c r="T43" s="13">
        <v>89.785865667648551</v>
      </c>
      <c r="U43" s="13">
        <v>88.57935398120577</v>
      </c>
      <c r="V43" s="13">
        <v>89.591254758910878</v>
      </c>
      <c r="W43" s="14">
        <v>91.440938073293523</v>
      </c>
      <c r="X43" s="5">
        <v>3</v>
      </c>
      <c r="Y43" s="5">
        <v>3</v>
      </c>
      <c r="Z43" s="5">
        <v>3</v>
      </c>
      <c r="AA43" s="5">
        <v>3</v>
      </c>
      <c r="AB43" s="5">
        <v>3</v>
      </c>
      <c r="AC43" s="5">
        <v>3</v>
      </c>
      <c r="AD43" s="6">
        <v>3</v>
      </c>
    </row>
    <row r="44" spans="2:30" x14ac:dyDescent="0.25">
      <c r="B44" s="4" t="s">
        <v>34</v>
      </c>
      <c r="C44" s="66" t="s">
        <v>189</v>
      </c>
      <c r="D44" s="13" t="s">
        <v>190</v>
      </c>
      <c r="E44" s="13" t="s">
        <v>191</v>
      </c>
      <c r="F44" s="13" t="s">
        <v>158</v>
      </c>
      <c r="G44" s="13" t="s">
        <v>443</v>
      </c>
      <c r="H44" s="13" t="s">
        <v>444</v>
      </c>
      <c r="I44" s="14" t="s">
        <v>275</v>
      </c>
      <c r="J44" s="12">
        <v>1.07</v>
      </c>
      <c r="K44" s="12">
        <v>1.26</v>
      </c>
      <c r="L44" s="12">
        <v>1.4</v>
      </c>
      <c r="M44" s="12">
        <v>1.58</v>
      </c>
      <c r="N44" s="12">
        <v>2.34</v>
      </c>
      <c r="O44" s="12">
        <v>2.16</v>
      </c>
      <c r="P44" s="12">
        <v>1.74</v>
      </c>
      <c r="Q44" s="66">
        <v>41.258035367729704</v>
      </c>
      <c r="R44" s="13">
        <v>44.86138115122759</v>
      </c>
      <c r="S44" s="13">
        <v>47.10764579730359</v>
      </c>
      <c r="T44" s="13">
        <v>51.709822324495583</v>
      </c>
      <c r="U44" s="13">
        <v>71.053219440168675</v>
      </c>
      <c r="V44" s="13">
        <v>65.480040429255496</v>
      </c>
      <c r="W44" s="14">
        <v>53.870586739196739</v>
      </c>
      <c r="X44" s="5">
        <v>17</v>
      </c>
      <c r="Y44" s="5">
        <v>15</v>
      </c>
      <c r="Z44" s="5">
        <v>14</v>
      </c>
      <c r="AA44" s="5">
        <v>12</v>
      </c>
      <c r="AB44" s="5">
        <v>7</v>
      </c>
      <c r="AC44" s="5">
        <v>9</v>
      </c>
      <c r="AD44" s="6">
        <v>11</v>
      </c>
    </row>
    <row r="45" spans="2:30" x14ac:dyDescent="0.25">
      <c r="B45" s="4" t="s">
        <v>35</v>
      </c>
      <c r="C45" s="66" t="s">
        <v>147</v>
      </c>
      <c r="D45" s="13" t="s">
        <v>147</v>
      </c>
      <c r="E45" s="13" t="s">
        <v>147</v>
      </c>
      <c r="F45" s="13" t="s">
        <v>147</v>
      </c>
      <c r="G45" s="13" t="s">
        <v>147</v>
      </c>
      <c r="H45" s="13" t="s">
        <v>147</v>
      </c>
      <c r="I45" s="14" t="s">
        <v>312</v>
      </c>
      <c r="J45" s="12">
        <v>3.35</v>
      </c>
      <c r="K45" s="12">
        <v>3.55</v>
      </c>
      <c r="L45" s="12">
        <v>3.75</v>
      </c>
      <c r="M45" s="12">
        <v>3.73</v>
      </c>
      <c r="N45" s="12">
        <v>3.64</v>
      </c>
      <c r="O45" s="12">
        <v>3.42</v>
      </c>
      <c r="P45" s="12">
        <v>3.31</v>
      </c>
      <c r="Q45" s="66">
        <v>100</v>
      </c>
      <c r="R45" s="13">
        <v>100</v>
      </c>
      <c r="S45" s="13">
        <v>100</v>
      </c>
      <c r="T45" s="13">
        <v>100</v>
      </c>
      <c r="U45" s="13">
        <v>100</v>
      </c>
      <c r="V45" s="13">
        <v>100</v>
      </c>
      <c r="W45" s="14">
        <v>98.556534916872465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6">
        <v>1</v>
      </c>
    </row>
    <row r="46" spans="2:30" x14ac:dyDescent="0.25">
      <c r="B46" s="4" t="s">
        <v>36</v>
      </c>
      <c r="C46" s="66" t="s">
        <v>155</v>
      </c>
      <c r="D46" s="13" t="s">
        <v>278</v>
      </c>
      <c r="E46" s="13" t="s">
        <v>445</v>
      </c>
      <c r="F46" s="13" t="s">
        <v>445</v>
      </c>
      <c r="G46" s="13" t="s">
        <v>145</v>
      </c>
      <c r="H46" s="13" t="s">
        <v>145</v>
      </c>
      <c r="I46" s="14" t="s">
        <v>446</v>
      </c>
      <c r="J46" s="12">
        <v>2.02</v>
      </c>
      <c r="K46" s="12">
        <v>2.06</v>
      </c>
      <c r="L46" s="12">
        <v>2.21</v>
      </c>
      <c r="M46" s="12">
        <v>2.1800000000000002</v>
      </c>
      <c r="N46" s="12">
        <v>2.19</v>
      </c>
      <c r="O46" s="12">
        <v>2.23</v>
      </c>
      <c r="P46" s="12">
        <v>2.23</v>
      </c>
      <c r="Q46" s="66">
        <v>70.03727537000573</v>
      </c>
      <c r="R46" s="13">
        <v>67.564549240478527</v>
      </c>
      <c r="S46" s="13">
        <v>69.046974665917162</v>
      </c>
      <c r="T46" s="13">
        <v>68.508076740592486</v>
      </c>
      <c r="U46" s="13">
        <v>66.880330263731281</v>
      </c>
      <c r="V46" s="13">
        <v>67.442581130506511</v>
      </c>
      <c r="W46" s="14">
        <v>67.817156552611465</v>
      </c>
      <c r="X46" s="5">
        <v>6</v>
      </c>
      <c r="Y46" s="5">
        <v>6</v>
      </c>
      <c r="Z46" s="5">
        <v>6</v>
      </c>
      <c r="AA46" s="5">
        <v>6</v>
      </c>
      <c r="AB46" s="5">
        <v>8</v>
      </c>
      <c r="AC46" s="5">
        <v>8</v>
      </c>
      <c r="AD46" s="6">
        <v>8</v>
      </c>
    </row>
    <row r="47" spans="2:30" x14ac:dyDescent="0.25">
      <c r="B47" s="4" t="s">
        <v>37</v>
      </c>
      <c r="C47" s="66" t="s">
        <v>447</v>
      </c>
      <c r="D47" s="13" t="s">
        <v>447</v>
      </c>
      <c r="E47" s="13" t="s">
        <v>447</v>
      </c>
      <c r="F47" s="13" t="s">
        <v>177</v>
      </c>
      <c r="G47" s="13" t="s">
        <v>176</v>
      </c>
      <c r="H47" s="13" t="s">
        <v>192</v>
      </c>
      <c r="I47" s="14" t="s">
        <v>193</v>
      </c>
      <c r="J47" s="12">
        <v>2.4500000000000002</v>
      </c>
      <c r="K47" s="12">
        <v>2.6</v>
      </c>
      <c r="L47" s="12">
        <v>2.73</v>
      </c>
      <c r="M47" s="12">
        <v>2.72</v>
      </c>
      <c r="N47" s="12">
        <v>2.8</v>
      </c>
      <c r="O47" s="12">
        <v>2.88</v>
      </c>
      <c r="P47" s="12">
        <v>2.85</v>
      </c>
      <c r="Q47" s="66">
        <v>83.063668213141199</v>
      </c>
      <c r="R47" s="13">
        <v>82.8891877007229</v>
      </c>
      <c r="S47" s="13">
        <v>83.131482087743152</v>
      </c>
      <c r="T47" s="13">
        <v>83.626505715079702</v>
      </c>
      <c r="U47" s="13">
        <v>83.850079581243364</v>
      </c>
      <c r="V47" s="13">
        <v>85.666173356408834</v>
      </c>
      <c r="W47" s="14">
        <v>85.463836724687212</v>
      </c>
      <c r="X47" s="5">
        <v>4</v>
      </c>
      <c r="Y47" s="5">
        <v>4</v>
      </c>
      <c r="Z47" s="5">
        <v>4</v>
      </c>
      <c r="AA47" s="5">
        <v>5</v>
      </c>
      <c r="AB47" s="5">
        <v>4</v>
      </c>
      <c r="AC47" s="5">
        <v>4</v>
      </c>
      <c r="AD47" s="6">
        <v>4</v>
      </c>
    </row>
    <row r="48" spans="2:30" x14ac:dyDescent="0.25">
      <c r="B48" s="4" t="s">
        <v>38</v>
      </c>
      <c r="C48" s="66" t="s">
        <v>319</v>
      </c>
      <c r="D48" s="13" t="s">
        <v>194</v>
      </c>
      <c r="E48" s="13" t="s">
        <v>195</v>
      </c>
      <c r="F48" s="13" t="s">
        <v>196</v>
      </c>
      <c r="G48" s="13" t="s">
        <v>152</v>
      </c>
      <c r="H48" s="13" t="s">
        <v>196</v>
      </c>
      <c r="I48" s="14" t="s">
        <v>153</v>
      </c>
      <c r="J48" s="12">
        <v>0.57999999999999996</v>
      </c>
      <c r="K48" s="12">
        <v>0.66</v>
      </c>
      <c r="L48" s="12">
        <v>0.63</v>
      </c>
      <c r="M48" s="12">
        <v>0.6</v>
      </c>
      <c r="N48" s="12">
        <v>0.67</v>
      </c>
      <c r="O48" s="12">
        <v>0.69</v>
      </c>
      <c r="P48" s="12">
        <v>0.8</v>
      </c>
      <c r="Q48" s="66">
        <v>26.414006313924176</v>
      </c>
      <c r="R48" s="13">
        <v>27.834005084289387</v>
      </c>
      <c r="S48" s="13">
        <v>26.251740576522796</v>
      </c>
      <c r="T48" s="13">
        <v>24.272673444870641</v>
      </c>
      <c r="U48" s="13">
        <v>24.595053275832306</v>
      </c>
      <c r="V48" s="13">
        <v>24.266685702984081</v>
      </c>
      <c r="W48" s="14">
        <v>27.115942607339942</v>
      </c>
      <c r="X48" s="5">
        <v>21</v>
      </c>
      <c r="Y48" s="5">
        <v>21</v>
      </c>
      <c r="Z48" s="5">
        <v>22</v>
      </c>
      <c r="AA48" s="5">
        <v>24</v>
      </c>
      <c r="AB48" s="5">
        <v>24</v>
      </c>
      <c r="AC48" s="5">
        <v>24</v>
      </c>
      <c r="AD48" s="6">
        <v>24</v>
      </c>
    </row>
    <row r="49" spans="2:30" x14ac:dyDescent="0.25">
      <c r="B49" s="4" t="s">
        <v>39</v>
      </c>
      <c r="C49" s="66" t="s">
        <v>448</v>
      </c>
      <c r="D49" s="13" t="s">
        <v>449</v>
      </c>
      <c r="E49" s="13" t="s">
        <v>197</v>
      </c>
      <c r="F49" s="13" t="s">
        <v>197</v>
      </c>
      <c r="G49" s="13" t="s">
        <v>198</v>
      </c>
      <c r="H49" s="13" t="s">
        <v>313</v>
      </c>
      <c r="I49" s="14" t="s">
        <v>387</v>
      </c>
      <c r="J49" s="12">
        <v>0.97</v>
      </c>
      <c r="K49" s="12">
        <v>0.99</v>
      </c>
      <c r="L49" s="12">
        <v>1.1399999999999999</v>
      </c>
      <c r="M49" s="12">
        <v>1.1499999999999999</v>
      </c>
      <c r="N49" s="12">
        <v>1.2</v>
      </c>
      <c r="O49" s="12">
        <v>1.27</v>
      </c>
      <c r="P49" s="12">
        <v>1.41</v>
      </c>
      <c r="Q49" s="66">
        <v>38.228641683279591</v>
      </c>
      <c r="R49" s="13">
        <v>37.199061921105397</v>
      </c>
      <c r="S49" s="13">
        <v>40.065392086390595</v>
      </c>
      <c r="T49" s="13">
        <v>39.671073326292799</v>
      </c>
      <c r="U49" s="13">
        <v>39.339261699244446</v>
      </c>
      <c r="V49" s="13">
        <v>40.527737227635384</v>
      </c>
      <c r="W49" s="14">
        <v>44.477998905672543</v>
      </c>
      <c r="X49" s="5">
        <v>18</v>
      </c>
      <c r="Y49" s="5">
        <v>18</v>
      </c>
      <c r="Z49" s="5">
        <v>18</v>
      </c>
      <c r="AA49" s="5">
        <v>18</v>
      </c>
      <c r="AB49" s="5">
        <v>18</v>
      </c>
      <c r="AC49" s="5">
        <v>15</v>
      </c>
      <c r="AD49" s="6">
        <v>14</v>
      </c>
    </row>
    <row r="50" spans="2:30" x14ac:dyDescent="0.25">
      <c r="B50" s="4" t="s">
        <v>40</v>
      </c>
      <c r="C50" s="66" t="s">
        <v>450</v>
      </c>
      <c r="D50" s="13" t="s">
        <v>322</v>
      </c>
      <c r="E50" s="13" t="s">
        <v>199</v>
      </c>
      <c r="F50" s="13" t="s">
        <v>381</v>
      </c>
      <c r="G50" s="13" t="s">
        <v>322</v>
      </c>
      <c r="H50" s="13" t="s">
        <v>322</v>
      </c>
      <c r="I50" s="14" t="s">
        <v>322</v>
      </c>
      <c r="J50" s="12">
        <v>1.24</v>
      </c>
      <c r="K50" s="12">
        <v>1.39</v>
      </c>
      <c r="L50" s="12">
        <v>1.63</v>
      </c>
      <c r="M50" s="12">
        <v>1.62</v>
      </c>
      <c r="N50" s="12">
        <v>1.53</v>
      </c>
      <c r="O50" s="12">
        <v>1.58</v>
      </c>
      <c r="P50" s="12">
        <v>1.5622931034482763</v>
      </c>
      <c r="Q50" s="66">
        <v>46.408004631294887</v>
      </c>
      <c r="R50" s="13">
        <v>48.550645965730858</v>
      </c>
      <c r="S50" s="13">
        <v>53.337331772342012</v>
      </c>
      <c r="T50" s="13">
        <v>52.829705952235372</v>
      </c>
      <c r="U50" s="13">
        <v>48.519617887406724</v>
      </c>
      <c r="V50" s="13">
        <v>49.218988904604188</v>
      </c>
      <c r="W50" s="14">
        <v>48.812624210454125</v>
      </c>
      <c r="X50" s="5">
        <v>13</v>
      </c>
      <c r="Y50" s="5">
        <v>13</v>
      </c>
      <c r="Z50" s="5">
        <v>12</v>
      </c>
      <c r="AA50" s="5">
        <v>11</v>
      </c>
      <c r="AB50" s="5">
        <v>13</v>
      </c>
      <c r="AC50" s="5">
        <v>13</v>
      </c>
      <c r="AD50" s="6">
        <v>13</v>
      </c>
    </row>
    <row r="51" spans="2:30" x14ac:dyDescent="0.25">
      <c r="B51" s="4" t="s">
        <v>41</v>
      </c>
      <c r="C51" s="66" t="s">
        <v>200</v>
      </c>
      <c r="D51" s="13" t="s">
        <v>393</v>
      </c>
      <c r="E51" s="13" t="s">
        <v>393</v>
      </c>
      <c r="F51" s="13" t="s">
        <v>393</v>
      </c>
      <c r="G51" s="13" t="s">
        <v>122</v>
      </c>
      <c r="H51" s="13" t="s">
        <v>313</v>
      </c>
      <c r="I51" s="14" t="s">
        <v>168</v>
      </c>
      <c r="J51" s="12">
        <v>1.1299999999999999</v>
      </c>
      <c r="K51" s="12">
        <v>1.1599999999999999</v>
      </c>
      <c r="L51" s="12">
        <v>1.22</v>
      </c>
      <c r="M51" s="12">
        <v>1.22</v>
      </c>
      <c r="N51" s="12">
        <v>1.21</v>
      </c>
      <c r="O51" s="12">
        <v>1.27</v>
      </c>
      <c r="P51" s="12">
        <v>1.26</v>
      </c>
      <c r="Q51" s="66">
        <v>43.075671578399763</v>
      </c>
      <c r="R51" s="13">
        <v>42.023485140071216</v>
      </c>
      <c r="S51" s="13">
        <v>42.232239382056136</v>
      </c>
      <c r="T51" s="13">
        <v>41.630869674837435</v>
      </c>
      <c r="U51" s="13">
        <v>39.617454311006938</v>
      </c>
      <c r="V51" s="13">
        <v>40.527737227635384</v>
      </c>
      <c r="W51" s="14">
        <v>40.208640799525185</v>
      </c>
      <c r="X51" s="5">
        <v>15</v>
      </c>
      <c r="Y51" s="5">
        <v>17</v>
      </c>
      <c r="Z51" s="5">
        <v>17</v>
      </c>
      <c r="AA51" s="5">
        <v>17</v>
      </c>
      <c r="AB51" s="5">
        <v>17</v>
      </c>
      <c r="AC51" s="5">
        <v>15</v>
      </c>
      <c r="AD51" s="6">
        <v>16</v>
      </c>
    </row>
    <row r="52" spans="2:30" x14ac:dyDescent="0.25">
      <c r="B52" s="4" t="s">
        <v>42</v>
      </c>
      <c r="C52" s="66" t="s">
        <v>195</v>
      </c>
      <c r="D52" s="13" t="s">
        <v>182</v>
      </c>
      <c r="E52" s="13" t="s">
        <v>438</v>
      </c>
      <c r="F52" s="13" t="s">
        <v>196</v>
      </c>
      <c r="G52" s="13" t="s">
        <v>451</v>
      </c>
      <c r="H52" s="13" t="s">
        <v>180</v>
      </c>
      <c r="I52" s="14" t="s">
        <v>436</v>
      </c>
      <c r="J52" s="12">
        <v>0.56000000000000005</v>
      </c>
      <c r="K52" s="12">
        <v>0.57999999999999996</v>
      </c>
      <c r="L52" s="12">
        <v>0.45</v>
      </c>
      <c r="M52" s="12">
        <v>0.6</v>
      </c>
      <c r="N52" s="12">
        <v>0.7</v>
      </c>
      <c r="O52" s="12">
        <v>0.66</v>
      </c>
      <c r="P52" s="12">
        <v>0.6</v>
      </c>
      <c r="Q52" s="66">
        <v>25.808127577034156</v>
      </c>
      <c r="R52" s="13">
        <v>25.563688275364292</v>
      </c>
      <c r="S52" s="13">
        <v>21.376334161275334</v>
      </c>
      <c r="T52" s="13">
        <v>24.272673444870641</v>
      </c>
      <c r="U52" s="13">
        <v>25.429631111119782</v>
      </c>
      <c r="V52" s="13">
        <v>23.425596831019359</v>
      </c>
      <c r="W52" s="14">
        <v>21.4234651324768</v>
      </c>
      <c r="X52" s="5">
        <v>22</v>
      </c>
      <c r="Y52" s="5">
        <v>23</v>
      </c>
      <c r="Z52" s="5">
        <v>27</v>
      </c>
      <c r="AA52" s="5">
        <v>24</v>
      </c>
      <c r="AB52" s="5">
        <v>22</v>
      </c>
      <c r="AC52" s="5">
        <v>25</v>
      </c>
      <c r="AD52" s="6">
        <v>26</v>
      </c>
    </row>
    <row r="53" spans="2:30" x14ac:dyDescent="0.25">
      <c r="B53" s="4" t="s">
        <v>43</v>
      </c>
      <c r="C53" s="66" t="s">
        <v>452</v>
      </c>
      <c r="D53" s="13" t="s">
        <v>453</v>
      </c>
      <c r="E53" s="13" t="s">
        <v>453</v>
      </c>
      <c r="F53" s="13" t="s">
        <v>338</v>
      </c>
      <c r="G53" s="13" t="s">
        <v>310</v>
      </c>
      <c r="H53" s="13" t="s">
        <v>454</v>
      </c>
      <c r="I53" s="14" t="s">
        <v>310</v>
      </c>
      <c r="J53" s="12">
        <v>0.8</v>
      </c>
      <c r="K53" s="12">
        <v>0.79</v>
      </c>
      <c r="L53" s="12">
        <v>0.83</v>
      </c>
      <c r="M53" s="12">
        <v>0.78</v>
      </c>
      <c r="N53" s="12">
        <v>0.9</v>
      </c>
      <c r="O53" s="12">
        <v>0.9</v>
      </c>
      <c r="P53" s="12">
        <v>0.95</v>
      </c>
      <c r="Q53" s="66">
        <v>33.078672419714415</v>
      </c>
      <c r="R53" s="13">
        <v>31.523269898792663</v>
      </c>
      <c r="S53" s="13">
        <v>31.668858815686637</v>
      </c>
      <c r="T53" s="13">
        <v>29.312149769699712</v>
      </c>
      <c r="U53" s="13">
        <v>30.993483346369651</v>
      </c>
      <c r="V53" s="13">
        <v>30.15430780673714</v>
      </c>
      <c r="W53" s="14">
        <v>31.385300713487304</v>
      </c>
      <c r="X53" s="5">
        <v>19</v>
      </c>
      <c r="Y53" s="5">
        <v>20</v>
      </c>
      <c r="Z53" s="5">
        <v>20</v>
      </c>
      <c r="AA53" s="5">
        <v>19</v>
      </c>
      <c r="AB53" s="5">
        <v>19</v>
      </c>
      <c r="AC53" s="5">
        <v>19</v>
      </c>
      <c r="AD53" s="6">
        <v>19</v>
      </c>
    </row>
    <row r="54" spans="2:30" x14ac:dyDescent="0.25">
      <c r="B54" s="4" t="s">
        <v>44</v>
      </c>
      <c r="C54" s="66" t="s">
        <v>341</v>
      </c>
      <c r="D54" s="13" t="s">
        <v>280</v>
      </c>
      <c r="E54" s="13" t="s">
        <v>201</v>
      </c>
      <c r="F54" s="13" t="s">
        <v>202</v>
      </c>
      <c r="G54" s="13" t="s">
        <v>190</v>
      </c>
      <c r="H54" s="13" t="s">
        <v>449</v>
      </c>
      <c r="I54" s="14" t="s">
        <v>449</v>
      </c>
      <c r="J54" s="12">
        <v>1.65</v>
      </c>
      <c r="K54" s="12">
        <v>1.65</v>
      </c>
      <c r="L54" s="12">
        <v>1.72</v>
      </c>
      <c r="M54" s="12">
        <v>1.5</v>
      </c>
      <c r="N54" s="12">
        <v>1.41</v>
      </c>
      <c r="O54" s="12">
        <v>1.1599999999999999</v>
      </c>
      <c r="P54" s="12">
        <v>1.1599999999999999</v>
      </c>
      <c r="Q54" s="66">
        <v>58.828518737540321</v>
      </c>
      <c r="R54" s="13">
        <v>55.929175594737416</v>
      </c>
      <c r="S54" s="13">
        <v>55.775034979965746</v>
      </c>
      <c r="T54" s="13">
        <v>49.470055069015991</v>
      </c>
      <c r="U54" s="13">
        <v>45.181306546256806</v>
      </c>
      <c r="V54" s="13">
        <v>37.443744697098069</v>
      </c>
      <c r="W54" s="14">
        <v>37.362402062093608</v>
      </c>
      <c r="X54" s="5">
        <v>10</v>
      </c>
      <c r="Y54" s="5">
        <v>9</v>
      </c>
      <c r="Z54" s="5">
        <v>10</v>
      </c>
      <c r="AA54" s="5">
        <v>14</v>
      </c>
      <c r="AB54" s="5">
        <v>15</v>
      </c>
      <c r="AC54" s="5">
        <v>18</v>
      </c>
      <c r="AD54" s="6">
        <v>18</v>
      </c>
    </row>
    <row r="55" spans="2:30" x14ac:dyDescent="0.25">
      <c r="B55" s="4" t="s">
        <v>18</v>
      </c>
      <c r="C55" s="66" t="s">
        <v>173</v>
      </c>
      <c r="D55" s="13" t="s">
        <v>174</v>
      </c>
      <c r="E55" s="13" t="s">
        <v>455</v>
      </c>
      <c r="F55" s="13" t="s">
        <v>451</v>
      </c>
      <c r="G55" s="13" t="s">
        <v>451</v>
      </c>
      <c r="H55" s="13" t="s">
        <v>203</v>
      </c>
      <c r="I55" s="14" t="s">
        <v>203</v>
      </c>
      <c r="J55" s="12">
        <v>0.55000000000000004</v>
      </c>
      <c r="K55" s="12">
        <v>0.53</v>
      </c>
      <c r="L55" s="12">
        <v>0.52</v>
      </c>
      <c r="M55" s="12">
        <v>0.64</v>
      </c>
      <c r="N55" s="12">
        <v>0.7</v>
      </c>
      <c r="O55" s="12">
        <v>0.86</v>
      </c>
      <c r="P55" s="12">
        <v>0.85</v>
      </c>
      <c r="Q55" s="66">
        <v>25.505188208589146</v>
      </c>
      <c r="R55" s="13">
        <v>24.144740269786112</v>
      </c>
      <c r="S55" s="13">
        <v>23.272325544982682</v>
      </c>
      <c r="T55" s="13">
        <v>25.392557072610433</v>
      </c>
      <c r="U55" s="13">
        <v>25.429631111119782</v>
      </c>
      <c r="V55" s="13">
        <v>29.03285597745084</v>
      </c>
      <c r="W55" s="14">
        <v>28.539061976055731</v>
      </c>
      <c r="X55" s="5">
        <v>24</v>
      </c>
      <c r="Y55" s="5">
        <v>25</v>
      </c>
      <c r="Z55" s="5">
        <v>23</v>
      </c>
      <c r="AA55" s="5">
        <v>22</v>
      </c>
      <c r="AB55" s="5">
        <v>22</v>
      </c>
      <c r="AC55" s="5">
        <v>21</v>
      </c>
      <c r="AD55" s="6">
        <v>21</v>
      </c>
    </row>
    <row r="56" spans="2:30" x14ac:dyDescent="0.25">
      <c r="B56" s="4" t="s">
        <v>45</v>
      </c>
      <c r="C56" s="66" t="s">
        <v>204</v>
      </c>
      <c r="D56" s="13" t="s">
        <v>280</v>
      </c>
      <c r="E56" s="13" t="s">
        <v>160</v>
      </c>
      <c r="F56" s="13" t="s">
        <v>280</v>
      </c>
      <c r="G56" s="13" t="s">
        <v>341</v>
      </c>
      <c r="H56" s="13" t="s">
        <v>358</v>
      </c>
      <c r="I56" s="14" t="s">
        <v>116</v>
      </c>
      <c r="J56" s="12">
        <v>1.7</v>
      </c>
      <c r="K56" s="12">
        <v>1.65</v>
      </c>
      <c r="L56" s="12">
        <v>1.69</v>
      </c>
      <c r="M56" s="12">
        <v>1.72</v>
      </c>
      <c r="N56" s="12">
        <v>1.89</v>
      </c>
      <c r="O56" s="12">
        <v>1.97</v>
      </c>
      <c r="P56" s="12">
        <v>1.98</v>
      </c>
      <c r="Q56" s="66">
        <v>60.343215579765378</v>
      </c>
      <c r="R56" s="13">
        <v>55.929175594737416</v>
      </c>
      <c r="S56" s="13">
        <v>54.962467244091165</v>
      </c>
      <c r="T56" s="13">
        <v>55.629415021584855</v>
      </c>
      <c r="U56" s="13">
        <v>58.534551910856486</v>
      </c>
      <c r="V56" s="13">
        <v>60.153144240145579</v>
      </c>
      <c r="W56" s="14">
        <v>60.701559709032523</v>
      </c>
      <c r="X56" s="5">
        <v>8</v>
      </c>
      <c r="Y56" s="5">
        <v>9</v>
      </c>
      <c r="Z56" s="5">
        <v>11</v>
      </c>
      <c r="AA56" s="5">
        <v>9</v>
      </c>
      <c r="AB56" s="5">
        <v>10</v>
      </c>
      <c r="AC56" s="5">
        <v>10</v>
      </c>
      <c r="AD56" s="6">
        <v>9</v>
      </c>
    </row>
    <row r="57" spans="2:30" x14ac:dyDescent="0.25">
      <c r="B57" s="4" t="s">
        <v>46</v>
      </c>
      <c r="C57" s="66" t="s">
        <v>195</v>
      </c>
      <c r="D57" s="13" t="s">
        <v>195</v>
      </c>
      <c r="E57" s="13" t="s">
        <v>326</v>
      </c>
      <c r="F57" s="13" t="s">
        <v>194</v>
      </c>
      <c r="G57" s="13" t="s">
        <v>339</v>
      </c>
      <c r="H57" s="13" t="s">
        <v>166</v>
      </c>
      <c r="I57" s="14" t="s">
        <v>205</v>
      </c>
      <c r="J57" s="12">
        <v>0.56000000000000005</v>
      </c>
      <c r="K57" s="12">
        <v>0.6</v>
      </c>
      <c r="L57" s="12">
        <v>0.67</v>
      </c>
      <c r="M57" s="12">
        <v>0.72</v>
      </c>
      <c r="N57" s="12">
        <v>0.75</v>
      </c>
      <c r="O57" s="12">
        <v>0.89</v>
      </c>
      <c r="P57" s="12">
        <v>0.87</v>
      </c>
      <c r="Q57" s="66">
        <v>25.808127577034156</v>
      </c>
      <c r="R57" s="13">
        <v>26.131267477595564</v>
      </c>
      <c r="S57" s="13">
        <v>27.335164224355566</v>
      </c>
      <c r="T57" s="13">
        <v>27.632324328090018</v>
      </c>
      <c r="U57" s="13">
        <v>26.820594169932249</v>
      </c>
      <c r="V57" s="13">
        <v>29.873944849415565</v>
      </c>
      <c r="W57" s="14">
        <v>29.108309723542046</v>
      </c>
      <c r="X57" s="5">
        <v>22</v>
      </c>
      <c r="Y57" s="5">
        <v>22</v>
      </c>
      <c r="Z57" s="5">
        <v>21</v>
      </c>
      <c r="AA57" s="5">
        <v>21</v>
      </c>
      <c r="AB57" s="5">
        <v>20</v>
      </c>
      <c r="AC57" s="5">
        <v>20</v>
      </c>
      <c r="AD57" s="6">
        <v>20</v>
      </c>
    </row>
    <row r="58" spans="2:30" x14ac:dyDescent="0.25">
      <c r="B58" s="4" t="s">
        <v>47</v>
      </c>
      <c r="C58" s="66" t="s">
        <v>389</v>
      </c>
      <c r="D58" s="13" t="s">
        <v>382</v>
      </c>
      <c r="E58" s="13" t="s">
        <v>206</v>
      </c>
      <c r="F58" s="13" t="s">
        <v>156</v>
      </c>
      <c r="G58" s="13" t="s">
        <v>191</v>
      </c>
      <c r="H58" s="13" t="s">
        <v>456</v>
      </c>
      <c r="I58" s="14" t="s">
        <v>200</v>
      </c>
      <c r="J58" s="12">
        <v>1.1200000000000001</v>
      </c>
      <c r="K58" s="12">
        <v>1.45</v>
      </c>
      <c r="L58" s="12">
        <v>1.58</v>
      </c>
      <c r="M58" s="12">
        <v>1.53</v>
      </c>
      <c r="N58" s="12">
        <v>1.46</v>
      </c>
      <c r="O58" s="12">
        <v>1.37</v>
      </c>
      <c r="P58" s="12">
        <v>1.36</v>
      </c>
      <c r="Q58" s="66">
        <v>42.772732209954761</v>
      </c>
      <c r="R58" s="13">
        <v>50.253383572424681</v>
      </c>
      <c r="S58" s="13">
        <v>51.983052212551058</v>
      </c>
      <c r="T58" s="13">
        <v>50.309967789820838</v>
      </c>
      <c r="U58" s="13">
        <v>46.572269605069273</v>
      </c>
      <c r="V58" s="13">
        <v>43.331366800851129</v>
      </c>
      <c r="W58" s="14">
        <v>43.054879536956761</v>
      </c>
      <c r="X58" s="5">
        <v>16</v>
      </c>
      <c r="Y58" s="5">
        <v>12</v>
      </c>
      <c r="Z58" s="5">
        <v>13</v>
      </c>
      <c r="AA58" s="5">
        <v>13</v>
      </c>
      <c r="AB58" s="5">
        <v>14</v>
      </c>
      <c r="AC58" s="5">
        <v>14</v>
      </c>
      <c r="AD58" s="6">
        <v>15</v>
      </c>
    </row>
    <row r="59" spans="2:30" x14ac:dyDescent="0.25">
      <c r="B59" s="4" t="s">
        <v>48</v>
      </c>
      <c r="C59" s="66" t="s">
        <v>457</v>
      </c>
      <c r="D59" s="13" t="s">
        <v>152</v>
      </c>
      <c r="E59" s="13" t="s">
        <v>434</v>
      </c>
      <c r="F59" s="13" t="s">
        <v>172</v>
      </c>
      <c r="G59" s="13" t="s">
        <v>172</v>
      </c>
      <c r="H59" s="13" t="s">
        <v>183</v>
      </c>
      <c r="I59" s="14" t="s">
        <v>458</v>
      </c>
      <c r="J59" s="12">
        <v>0.52</v>
      </c>
      <c r="K59" s="12">
        <v>0.56999999999999995</v>
      </c>
      <c r="L59" s="12">
        <v>0.46</v>
      </c>
      <c r="M59" s="12">
        <v>0.45</v>
      </c>
      <c r="N59" s="12">
        <v>0.49</v>
      </c>
      <c r="O59" s="12">
        <v>0.48</v>
      </c>
      <c r="P59" s="12">
        <v>0.39</v>
      </c>
      <c r="Q59" s="66">
        <v>24.596370103254113</v>
      </c>
      <c r="R59" s="13">
        <v>25.279898674248656</v>
      </c>
      <c r="S59" s="13">
        <v>21.647190073233531</v>
      </c>
      <c r="T59" s="13">
        <v>20.073109840846413</v>
      </c>
      <c r="U59" s="13">
        <v>19.587586264107426</v>
      </c>
      <c r="V59" s="13">
        <v>18.379063599231021</v>
      </c>
      <c r="W59" s="14">
        <v>15.446363783870495</v>
      </c>
      <c r="X59" s="5">
        <v>25</v>
      </c>
      <c r="Y59" s="5">
        <v>24</v>
      </c>
      <c r="Z59" s="5">
        <v>26</v>
      </c>
      <c r="AA59" s="5">
        <v>27</v>
      </c>
      <c r="AB59" s="5">
        <v>27</v>
      </c>
      <c r="AC59" s="5">
        <v>27</v>
      </c>
      <c r="AD59" s="6">
        <v>28</v>
      </c>
    </row>
    <row r="60" spans="2:30" x14ac:dyDescent="0.25">
      <c r="B60" s="4" t="s">
        <v>56</v>
      </c>
      <c r="C60" s="66" t="s">
        <v>434</v>
      </c>
      <c r="D60" s="13" t="s">
        <v>434</v>
      </c>
      <c r="E60" s="13" t="s">
        <v>207</v>
      </c>
      <c r="F60" s="13" t="s">
        <v>288</v>
      </c>
      <c r="G60" s="13" t="s">
        <v>152</v>
      </c>
      <c r="H60" s="13" t="s">
        <v>163</v>
      </c>
      <c r="I60" s="14" t="s">
        <v>163</v>
      </c>
      <c r="J60" s="12">
        <v>0.45</v>
      </c>
      <c r="K60" s="12">
        <v>0.46</v>
      </c>
      <c r="L60" s="12">
        <v>0.47</v>
      </c>
      <c r="M60" s="12">
        <v>0.62</v>
      </c>
      <c r="N60" s="12">
        <v>0.67</v>
      </c>
      <c r="O60" s="12">
        <v>0.81</v>
      </c>
      <c r="P60" s="12">
        <v>0.83</v>
      </c>
      <c r="Q60" s="66">
        <v>22.475794524139037</v>
      </c>
      <c r="R60" s="13">
        <v>22.15821306197665</v>
      </c>
      <c r="S60" s="13">
        <v>21.918045985191721</v>
      </c>
      <c r="T60" s="13">
        <v>24.832615258740535</v>
      </c>
      <c r="U60" s="13">
        <v>24.595053275832306</v>
      </c>
      <c r="V60" s="13">
        <v>27.631041190842971</v>
      </c>
      <c r="W60" s="14">
        <v>27.969814228569415</v>
      </c>
      <c r="X60" s="5">
        <v>26</v>
      </c>
      <c r="Y60" s="5">
        <v>26</v>
      </c>
      <c r="Z60" s="5">
        <v>25</v>
      </c>
      <c r="AA60" s="5">
        <v>23</v>
      </c>
      <c r="AB60" s="5">
        <v>24</v>
      </c>
      <c r="AC60" s="5">
        <v>22</v>
      </c>
      <c r="AD60" s="6">
        <v>22</v>
      </c>
    </row>
    <row r="61" spans="2:30" x14ac:dyDescent="0.25">
      <c r="B61" s="4" t="s">
        <v>49</v>
      </c>
      <c r="C61" s="66" t="s">
        <v>305</v>
      </c>
      <c r="D61" s="13" t="s">
        <v>160</v>
      </c>
      <c r="E61" s="13" t="s">
        <v>298</v>
      </c>
      <c r="F61" s="13" t="s">
        <v>178</v>
      </c>
      <c r="G61" s="13" t="s">
        <v>459</v>
      </c>
      <c r="H61" s="13" t="s">
        <v>460</v>
      </c>
      <c r="I61" s="14" t="s">
        <v>461</v>
      </c>
      <c r="J61" s="12">
        <v>1.42</v>
      </c>
      <c r="K61" s="12">
        <v>1.63</v>
      </c>
      <c r="L61" s="12">
        <v>1.82</v>
      </c>
      <c r="M61" s="12">
        <v>2.06</v>
      </c>
      <c r="N61" s="12">
        <v>2.4300000000000002</v>
      </c>
      <c r="O61" s="12">
        <v>2.58</v>
      </c>
      <c r="P61" s="12">
        <v>2.59</v>
      </c>
      <c r="Q61" s="66">
        <v>51.860913263305079</v>
      </c>
      <c r="R61" s="13">
        <v>55.361596392506137</v>
      </c>
      <c r="S61" s="13">
        <v>58.483594099547666</v>
      </c>
      <c r="T61" s="13">
        <v>65.148425857373098</v>
      </c>
      <c r="U61" s="13">
        <v>73.556952946031132</v>
      </c>
      <c r="V61" s="13">
        <v>77.255284636761601</v>
      </c>
      <c r="W61" s="14">
        <v>78.063616007365127</v>
      </c>
      <c r="X61" s="5">
        <v>11</v>
      </c>
      <c r="Y61" s="5">
        <v>11</v>
      </c>
      <c r="Z61" s="5">
        <v>8</v>
      </c>
      <c r="AA61" s="5">
        <v>7</v>
      </c>
      <c r="AB61" s="5">
        <v>6</v>
      </c>
      <c r="AC61" s="5">
        <v>6</v>
      </c>
      <c r="AD61" s="6">
        <v>6</v>
      </c>
    </row>
    <row r="62" spans="2:30" x14ac:dyDescent="0.25">
      <c r="B62" s="4" t="s">
        <v>50</v>
      </c>
      <c r="C62" s="66" t="s">
        <v>462</v>
      </c>
      <c r="D62" s="13" t="s">
        <v>191</v>
      </c>
      <c r="E62" s="13" t="s">
        <v>208</v>
      </c>
      <c r="F62" s="13" t="s">
        <v>190</v>
      </c>
      <c r="G62" s="13" t="s">
        <v>389</v>
      </c>
      <c r="H62" s="13" t="s">
        <v>313</v>
      </c>
      <c r="I62" s="14" t="s">
        <v>122</v>
      </c>
      <c r="J62" s="12">
        <v>1.23</v>
      </c>
      <c r="K62" s="12">
        <v>1.32</v>
      </c>
      <c r="L62" s="12">
        <v>1.35</v>
      </c>
      <c r="M62" s="12">
        <v>1.35</v>
      </c>
      <c r="N62" s="12">
        <v>1.32</v>
      </c>
      <c r="O62" s="12">
        <v>1.27</v>
      </c>
      <c r="P62" s="12">
        <v>1.24</v>
      </c>
      <c r="Q62" s="66">
        <v>46.105065262849877</v>
      </c>
      <c r="R62" s="13">
        <v>46.564118757921406</v>
      </c>
      <c r="S62" s="13">
        <v>45.753366237512637</v>
      </c>
      <c r="T62" s="13">
        <v>45.270491464991771</v>
      </c>
      <c r="U62" s="13">
        <v>42.677573040394371</v>
      </c>
      <c r="V62" s="13">
        <v>40.527737227635384</v>
      </c>
      <c r="W62" s="14">
        <v>39.639393052038869</v>
      </c>
      <c r="X62" s="5">
        <v>14</v>
      </c>
      <c r="Y62" s="5">
        <v>14</v>
      </c>
      <c r="Z62" s="5">
        <v>15</v>
      </c>
      <c r="AA62" s="5">
        <v>15</v>
      </c>
      <c r="AB62" s="5">
        <v>16</v>
      </c>
      <c r="AC62" s="5">
        <v>15</v>
      </c>
      <c r="AD62" s="6">
        <v>17</v>
      </c>
    </row>
    <row r="63" spans="2:30" x14ac:dyDescent="0.25">
      <c r="B63" s="4" t="s">
        <v>51</v>
      </c>
      <c r="C63" s="66" t="s">
        <v>147</v>
      </c>
      <c r="D63" s="13" t="s">
        <v>147</v>
      </c>
      <c r="E63" s="13" t="s">
        <v>147</v>
      </c>
      <c r="F63" s="13" t="s">
        <v>209</v>
      </c>
      <c r="G63" s="13" t="s">
        <v>463</v>
      </c>
      <c r="H63" s="13" t="s">
        <v>210</v>
      </c>
      <c r="I63" s="14" t="s">
        <v>209</v>
      </c>
      <c r="J63" s="12">
        <v>3.26</v>
      </c>
      <c r="K63" s="12">
        <v>3.5</v>
      </c>
      <c r="L63" s="12">
        <v>3.42</v>
      </c>
      <c r="M63" s="12">
        <v>3.22</v>
      </c>
      <c r="N63" s="12">
        <v>3.22</v>
      </c>
      <c r="O63" s="12">
        <v>3.28</v>
      </c>
      <c r="P63" s="12">
        <v>3.3</v>
      </c>
      <c r="Q63" s="66">
        <v>100</v>
      </c>
      <c r="R63" s="13">
        <v>100</v>
      </c>
      <c r="S63" s="13">
        <v>100</v>
      </c>
      <c r="T63" s="13">
        <v>97.625051061827122</v>
      </c>
      <c r="U63" s="13">
        <v>95.534169275268098</v>
      </c>
      <c r="V63" s="13">
        <v>96.880691649271796</v>
      </c>
      <c r="W63" s="14">
        <v>98.271911043129293</v>
      </c>
      <c r="X63" s="5">
        <v>1</v>
      </c>
      <c r="Y63" s="5">
        <v>1</v>
      </c>
      <c r="Z63" s="5">
        <v>1</v>
      </c>
      <c r="AA63" s="5">
        <v>2</v>
      </c>
      <c r="AB63" s="5">
        <v>2</v>
      </c>
      <c r="AC63" s="5">
        <v>2</v>
      </c>
      <c r="AD63" s="6">
        <v>2</v>
      </c>
    </row>
    <row r="64" spans="2:30" ht="15.75" thickBot="1" x14ac:dyDescent="0.3">
      <c r="B64" s="7" t="s">
        <v>54</v>
      </c>
      <c r="C64" s="67" t="s">
        <v>299</v>
      </c>
      <c r="D64" s="15" t="s">
        <v>464</v>
      </c>
      <c r="E64" s="15" t="s">
        <v>211</v>
      </c>
      <c r="F64" s="15" t="s">
        <v>465</v>
      </c>
      <c r="G64" s="15" t="s">
        <v>381</v>
      </c>
      <c r="H64" s="15" t="s">
        <v>212</v>
      </c>
      <c r="I64" s="16" t="s">
        <v>212</v>
      </c>
      <c r="J64" s="11">
        <v>1.69</v>
      </c>
      <c r="K64" s="11">
        <v>1.69</v>
      </c>
      <c r="L64" s="11">
        <v>1.75</v>
      </c>
      <c r="M64" s="11">
        <v>1.69</v>
      </c>
      <c r="N64" s="11">
        <v>1.69</v>
      </c>
      <c r="O64" s="11">
        <v>1.63</v>
      </c>
      <c r="P64" s="11">
        <v>1.63</v>
      </c>
      <c r="Q64" s="67">
        <v>60.040276211320368</v>
      </c>
      <c r="R64" s="15">
        <v>57.06433399919996</v>
      </c>
      <c r="S64" s="15">
        <v>56.587602715840319</v>
      </c>
      <c r="T64" s="15">
        <v>54.789502300780008</v>
      </c>
      <c r="U64" s="15">
        <v>52.970699675606618</v>
      </c>
      <c r="V64" s="15">
        <v>50.620803691212053</v>
      </c>
      <c r="W64" s="16">
        <v>50.739724128022004</v>
      </c>
      <c r="X64" s="8">
        <v>9</v>
      </c>
      <c r="Y64" s="8">
        <v>8</v>
      </c>
      <c r="Z64" s="8">
        <v>9</v>
      </c>
      <c r="AA64" s="8">
        <v>10</v>
      </c>
      <c r="AB64" s="8">
        <v>11</v>
      </c>
      <c r="AC64" s="8">
        <v>12</v>
      </c>
      <c r="AD64" s="9">
        <v>12</v>
      </c>
    </row>
    <row r="66" spans="2:30" ht="15.75" thickBot="1" x14ac:dyDescent="0.3"/>
    <row r="67" spans="2:30" ht="15.75" thickBot="1" x14ac:dyDescent="0.3">
      <c r="B67" s="68" t="s">
        <v>57</v>
      </c>
      <c r="C67" s="139" t="s">
        <v>68</v>
      </c>
      <c r="D67" s="140"/>
      <c r="E67" s="140"/>
      <c r="F67" s="140"/>
      <c r="G67" s="140"/>
      <c r="H67" s="140"/>
      <c r="I67" s="141"/>
      <c r="J67" s="139"/>
      <c r="K67" s="140"/>
      <c r="L67" s="140"/>
      <c r="M67" s="140"/>
      <c r="N67" s="140"/>
      <c r="O67" s="140"/>
      <c r="P67" s="141"/>
      <c r="Q67" s="139" t="s">
        <v>68</v>
      </c>
      <c r="R67" s="140"/>
      <c r="S67" s="140"/>
      <c r="T67" s="140"/>
      <c r="U67" s="140"/>
      <c r="V67" s="140"/>
      <c r="W67" s="141"/>
      <c r="X67" s="139" t="s">
        <v>69</v>
      </c>
      <c r="Y67" s="140"/>
      <c r="Z67" s="140"/>
      <c r="AA67" s="140"/>
      <c r="AB67" s="140"/>
      <c r="AC67" s="140"/>
      <c r="AD67" s="141"/>
    </row>
    <row r="68" spans="2:30" x14ac:dyDescent="0.25">
      <c r="B68" s="68"/>
      <c r="C68" s="1">
        <v>2009</v>
      </c>
      <c r="D68" s="2">
        <v>2010</v>
      </c>
      <c r="E68" s="2">
        <v>2011</v>
      </c>
      <c r="F68" s="2">
        <v>2012</v>
      </c>
      <c r="G68" s="2">
        <v>2013</v>
      </c>
      <c r="H68" s="2">
        <v>2014</v>
      </c>
      <c r="I68" s="3">
        <v>2015</v>
      </c>
      <c r="J68" s="2">
        <v>2009</v>
      </c>
      <c r="K68" s="2">
        <v>2010</v>
      </c>
      <c r="L68" s="2">
        <v>2011</v>
      </c>
      <c r="M68" s="2">
        <v>2012</v>
      </c>
      <c r="N68" s="2">
        <v>2013</v>
      </c>
      <c r="O68" s="2">
        <v>2014</v>
      </c>
      <c r="P68" s="2">
        <v>2015</v>
      </c>
      <c r="Q68" s="1">
        <v>2009</v>
      </c>
      <c r="R68" s="2">
        <v>2010</v>
      </c>
      <c r="S68" s="2">
        <v>2011</v>
      </c>
      <c r="T68" s="2">
        <v>2012</v>
      </c>
      <c r="U68" s="2">
        <v>2013</v>
      </c>
      <c r="V68" s="2">
        <v>2014</v>
      </c>
      <c r="W68" s="3">
        <v>2015</v>
      </c>
      <c r="X68" s="2">
        <v>2009</v>
      </c>
      <c r="Y68" s="2">
        <v>2010</v>
      </c>
      <c r="Z68" s="2">
        <v>2011</v>
      </c>
      <c r="AA68" s="2">
        <v>2012</v>
      </c>
      <c r="AB68" s="2">
        <v>2013</v>
      </c>
      <c r="AC68" s="2">
        <v>2014</v>
      </c>
      <c r="AD68" s="3">
        <v>2015</v>
      </c>
    </row>
    <row r="69" spans="2:30" x14ac:dyDescent="0.25">
      <c r="B69" s="69" t="s">
        <v>57</v>
      </c>
      <c r="C69" s="64">
        <v>2007</v>
      </c>
      <c r="D69" s="63">
        <v>2008</v>
      </c>
      <c r="E69" s="63">
        <v>2009</v>
      </c>
      <c r="F69" s="63">
        <v>2010</v>
      </c>
      <c r="G69" s="63">
        <v>2011</v>
      </c>
      <c r="H69" s="63">
        <v>2012</v>
      </c>
      <c r="I69" s="65">
        <v>2013</v>
      </c>
      <c r="J69" s="63">
        <v>2007</v>
      </c>
      <c r="K69" s="63">
        <v>2008</v>
      </c>
      <c r="L69" s="63">
        <v>2009</v>
      </c>
      <c r="M69" s="63">
        <v>2010</v>
      </c>
      <c r="N69" s="63">
        <v>2011</v>
      </c>
      <c r="O69" s="63">
        <v>2012</v>
      </c>
      <c r="P69" s="63">
        <v>2013</v>
      </c>
      <c r="Q69" s="64">
        <v>2007</v>
      </c>
      <c r="R69" s="63">
        <v>2008</v>
      </c>
      <c r="S69" s="63">
        <v>2009</v>
      </c>
      <c r="T69" s="63">
        <v>2010</v>
      </c>
      <c r="U69" s="63">
        <v>2011</v>
      </c>
      <c r="V69" s="63">
        <v>2012</v>
      </c>
      <c r="W69" s="65">
        <v>2013</v>
      </c>
      <c r="X69" s="63">
        <v>2007</v>
      </c>
      <c r="Y69" s="63">
        <v>2008</v>
      </c>
      <c r="Z69" s="63">
        <v>2009</v>
      </c>
      <c r="AA69" s="63">
        <v>2010</v>
      </c>
      <c r="AB69" s="63">
        <v>2011</v>
      </c>
      <c r="AC69" s="63">
        <v>2012</v>
      </c>
      <c r="AD69" s="65">
        <v>2013</v>
      </c>
    </row>
    <row r="70" spans="2:30" x14ac:dyDescent="0.25">
      <c r="B70" s="4" t="s">
        <v>27</v>
      </c>
      <c r="C70" s="66" t="s">
        <v>466</v>
      </c>
      <c r="D70" s="13" t="s">
        <v>466</v>
      </c>
      <c r="E70" s="13" t="s">
        <v>179</v>
      </c>
      <c r="F70" s="13" t="s">
        <v>179</v>
      </c>
      <c r="G70" s="13" t="s">
        <v>379</v>
      </c>
      <c r="H70" s="13" t="s">
        <v>117</v>
      </c>
      <c r="I70" s="14" t="s">
        <v>178</v>
      </c>
      <c r="J70" s="12">
        <v>1.1672122027520517</v>
      </c>
      <c r="K70" s="12">
        <v>1.178383842347408</v>
      </c>
      <c r="L70" s="12">
        <v>1.1966402411612809</v>
      </c>
      <c r="M70" s="12">
        <v>1.3248890068696662</v>
      </c>
      <c r="N70" s="12">
        <v>1.3854057066822809</v>
      </c>
      <c r="O70" s="12">
        <v>1.4745268294783105</v>
      </c>
      <c r="P70" s="12">
        <v>1.5797706067066892</v>
      </c>
      <c r="Q70" s="66">
        <v>61.169574270367939</v>
      </c>
      <c r="R70" s="13">
        <v>60.85325071946896</v>
      </c>
      <c r="S70" s="13">
        <v>62.774503812602461</v>
      </c>
      <c r="T70" s="13">
        <v>62.884375135595647</v>
      </c>
      <c r="U70" s="13">
        <v>62.410481421976449</v>
      </c>
      <c r="V70" s="13">
        <v>64.255768048902738</v>
      </c>
      <c r="W70" s="14">
        <v>65.359259472352619</v>
      </c>
      <c r="X70" s="5">
        <v>7</v>
      </c>
      <c r="Y70" s="5">
        <v>7</v>
      </c>
      <c r="Z70" s="5">
        <v>7</v>
      </c>
      <c r="AA70" s="5">
        <v>7</v>
      </c>
      <c r="AB70" s="5">
        <v>7</v>
      </c>
      <c r="AC70" s="5">
        <v>7</v>
      </c>
      <c r="AD70" s="6">
        <v>7</v>
      </c>
    </row>
    <row r="71" spans="2:30" x14ac:dyDescent="0.25">
      <c r="B71" s="4" t="s">
        <v>28</v>
      </c>
      <c r="C71" s="66" t="s">
        <v>359</v>
      </c>
      <c r="D71" s="13" t="s">
        <v>464</v>
      </c>
      <c r="E71" s="13" t="s">
        <v>465</v>
      </c>
      <c r="F71" s="13" t="s">
        <v>464</v>
      </c>
      <c r="G71" s="13" t="s">
        <v>467</v>
      </c>
      <c r="H71" s="13" t="s">
        <v>467</v>
      </c>
      <c r="I71" s="14" t="s">
        <v>468</v>
      </c>
      <c r="J71" s="12">
        <v>1.1041581991233624</v>
      </c>
      <c r="K71" s="12">
        <v>1.05654275585725</v>
      </c>
      <c r="L71" s="12">
        <v>0.93945176637763317</v>
      </c>
      <c r="M71" s="12">
        <v>1.0892161877802433</v>
      </c>
      <c r="N71" s="12">
        <v>1.0667563099522046</v>
      </c>
      <c r="O71" s="12">
        <v>1.093840836063579</v>
      </c>
      <c r="P71" s="12">
        <v>1.050562273901994</v>
      </c>
      <c r="Q71" s="66">
        <v>59.392193906404373</v>
      </c>
      <c r="R71" s="13">
        <v>57.384595260418152</v>
      </c>
      <c r="S71" s="13">
        <v>55.058584527003276</v>
      </c>
      <c r="T71" s="13">
        <v>56.731788808955059</v>
      </c>
      <c r="U71" s="13">
        <v>54.752337860667858</v>
      </c>
      <c r="V71" s="13">
        <v>55.255732522950652</v>
      </c>
      <c r="W71" s="14">
        <v>53.408162385234391</v>
      </c>
      <c r="X71" s="5">
        <v>8</v>
      </c>
      <c r="Y71" s="5">
        <v>8</v>
      </c>
      <c r="Z71" s="5">
        <v>10</v>
      </c>
      <c r="AA71" s="5">
        <v>8</v>
      </c>
      <c r="AB71" s="5">
        <v>8</v>
      </c>
      <c r="AC71" s="5">
        <v>8</v>
      </c>
      <c r="AD71" s="6">
        <v>9</v>
      </c>
    </row>
    <row r="72" spans="2:30" x14ac:dyDescent="0.25">
      <c r="B72" s="4" t="s">
        <v>29</v>
      </c>
      <c r="C72" s="66" t="s">
        <v>469</v>
      </c>
      <c r="D72" s="13" t="s">
        <v>412</v>
      </c>
      <c r="E72" s="13" t="s">
        <v>424</v>
      </c>
      <c r="F72" s="13" t="s">
        <v>470</v>
      </c>
      <c r="G72" s="13" t="s">
        <v>471</v>
      </c>
      <c r="H72" s="13" t="s">
        <v>472</v>
      </c>
      <c r="I72" s="14" t="s">
        <v>473</v>
      </c>
      <c r="J72" s="12">
        <v>4.5690603568911532E-2</v>
      </c>
      <c r="K72" s="12">
        <v>5.7196047566893435E-2</v>
      </c>
      <c r="L72" s="12">
        <v>5.3166422016309105E-2</v>
      </c>
      <c r="M72" s="12">
        <v>5.2682878980555306E-2</v>
      </c>
      <c r="N72" s="12">
        <v>5.359979623935688E-2</v>
      </c>
      <c r="O72" s="12">
        <v>5.0633091058769321E-2</v>
      </c>
      <c r="P72" s="12">
        <v>6.8638400824100096E-2</v>
      </c>
      <c r="Q72" s="66">
        <v>29.555872468217004</v>
      </c>
      <c r="R72" s="13">
        <v>28.934509045241413</v>
      </c>
      <c r="S72" s="13">
        <v>28.469110846838745</v>
      </c>
      <c r="T72" s="13">
        <v>29.671558921312858</v>
      </c>
      <c r="U72" s="13">
        <v>30.403011887644389</v>
      </c>
      <c r="V72" s="13">
        <v>30.592606144767693</v>
      </c>
      <c r="W72" s="14">
        <v>31.233402821038524</v>
      </c>
      <c r="X72" s="5">
        <v>26</v>
      </c>
      <c r="Y72" s="5">
        <v>26</v>
      </c>
      <c r="Z72" s="5">
        <v>27</v>
      </c>
      <c r="AA72" s="5">
        <v>28</v>
      </c>
      <c r="AB72" s="5">
        <v>27</v>
      </c>
      <c r="AC72" s="5">
        <v>28</v>
      </c>
      <c r="AD72" s="6">
        <v>27</v>
      </c>
    </row>
    <row r="73" spans="2:30" x14ac:dyDescent="0.25">
      <c r="B73" s="4" t="s">
        <v>30</v>
      </c>
      <c r="C73" s="66" t="s">
        <v>165</v>
      </c>
      <c r="D73" s="13" t="s">
        <v>474</v>
      </c>
      <c r="E73" s="13" t="s">
        <v>475</v>
      </c>
      <c r="F73" s="13" t="s">
        <v>410</v>
      </c>
      <c r="G73" s="13" t="s">
        <v>410</v>
      </c>
      <c r="H73" s="13" t="s">
        <v>410</v>
      </c>
      <c r="I73" s="14" t="s">
        <v>396</v>
      </c>
      <c r="J73" s="12">
        <v>0.12704212095429962</v>
      </c>
      <c r="K73" s="12">
        <v>0.12244991670854626</v>
      </c>
      <c r="L73" s="12">
        <v>9.8148497051832609E-2</v>
      </c>
      <c r="M73" s="12">
        <v>9.3891323581805256E-2</v>
      </c>
      <c r="N73" s="12">
        <v>8.5317529232326397E-2</v>
      </c>
      <c r="O73" s="12">
        <v>8.0683183098907749E-2</v>
      </c>
      <c r="P73" s="12">
        <v>9.6430431661090429E-2</v>
      </c>
      <c r="Q73" s="66">
        <v>31.849027244413328</v>
      </c>
      <c r="R73" s="13">
        <v>30.792200862858817</v>
      </c>
      <c r="S73" s="13">
        <v>29.818619453570967</v>
      </c>
      <c r="T73" s="13">
        <v>30.747366109326233</v>
      </c>
      <c r="U73" s="13">
        <v>31.165288405949461</v>
      </c>
      <c r="V73" s="13">
        <v>31.303039154118622</v>
      </c>
      <c r="W73" s="14">
        <v>31.861029481829661</v>
      </c>
      <c r="X73" s="5">
        <v>19</v>
      </c>
      <c r="Y73" s="5">
        <v>20</v>
      </c>
      <c r="Z73" s="5">
        <v>23</v>
      </c>
      <c r="AA73" s="5">
        <v>24</v>
      </c>
      <c r="AB73" s="5">
        <v>24</v>
      </c>
      <c r="AC73" s="5">
        <v>24</v>
      </c>
      <c r="AD73" s="6">
        <v>24</v>
      </c>
    </row>
    <row r="74" spans="2:30" x14ac:dyDescent="0.25">
      <c r="B74" s="4" t="s">
        <v>31</v>
      </c>
      <c r="C74" s="66" t="s">
        <v>333</v>
      </c>
      <c r="D74" s="13" t="s">
        <v>289</v>
      </c>
      <c r="E74" s="13" t="s">
        <v>328</v>
      </c>
      <c r="F74" s="13" t="s">
        <v>476</v>
      </c>
      <c r="G74" s="13" t="s">
        <v>331</v>
      </c>
      <c r="H74" s="13" t="s">
        <v>282</v>
      </c>
      <c r="I74" s="14" t="s">
        <v>297</v>
      </c>
      <c r="J74" s="12">
        <v>0.27971437468004368</v>
      </c>
      <c r="K74" s="12">
        <v>0.49463310203224647</v>
      </c>
      <c r="L74" s="12">
        <v>0.37142534476051853</v>
      </c>
      <c r="M74" s="12">
        <v>0.32595160778377325</v>
      </c>
      <c r="N74" s="12">
        <v>0.41917187356728364</v>
      </c>
      <c r="O74" s="12">
        <v>0.50927424360013973</v>
      </c>
      <c r="P74" s="12">
        <v>0.4076786799064071</v>
      </c>
      <c r="Q74" s="66">
        <v>36.152586896107422</v>
      </c>
      <c r="R74" s="13">
        <v>41.387766568391598</v>
      </c>
      <c r="S74" s="13">
        <v>38.017206506575526</v>
      </c>
      <c r="T74" s="13">
        <v>36.805641887813906</v>
      </c>
      <c r="U74" s="13">
        <v>39.188854506246855</v>
      </c>
      <c r="V74" s="13">
        <v>41.435628315113213</v>
      </c>
      <c r="W74" s="14">
        <v>38.889940030651339</v>
      </c>
      <c r="X74" s="5">
        <v>15</v>
      </c>
      <c r="Y74" s="5">
        <v>12</v>
      </c>
      <c r="Z74" s="5">
        <v>15</v>
      </c>
      <c r="AA74" s="5">
        <v>15</v>
      </c>
      <c r="AB74" s="5">
        <v>15</v>
      </c>
      <c r="AC74" s="5">
        <v>13</v>
      </c>
      <c r="AD74" s="6">
        <v>14</v>
      </c>
    </row>
    <row r="75" spans="2:30" x14ac:dyDescent="0.25">
      <c r="B75" s="4" t="s">
        <v>32</v>
      </c>
      <c r="C75" s="66" t="s">
        <v>477</v>
      </c>
      <c r="D75" s="13" t="s">
        <v>310</v>
      </c>
      <c r="E75" s="13" t="s">
        <v>453</v>
      </c>
      <c r="F75" s="13" t="s">
        <v>452</v>
      </c>
      <c r="G75" s="13" t="s">
        <v>225</v>
      </c>
      <c r="H75" s="13" t="s">
        <v>478</v>
      </c>
      <c r="I75" s="14" t="s">
        <v>181</v>
      </c>
      <c r="J75" s="12">
        <v>0.13672402411764975</v>
      </c>
      <c r="K75" s="12">
        <v>0.14714665997384618</v>
      </c>
      <c r="L75" s="12">
        <v>0.15701458585892303</v>
      </c>
      <c r="M75" s="12">
        <v>0.18227718979232443</v>
      </c>
      <c r="N75" s="12">
        <v>0.17278978549178003</v>
      </c>
      <c r="O75" s="12">
        <v>0.17952595059038431</v>
      </c>
      <c r="P75" s="12">
        <v>0.20349701054333227</v>
      </c>
      <c r="Q75" s="66">
        <v>32.121942897314156</v>
      </c>
      <c r="R75" s="13">
        <v>31.495284656804454</v>
      </c>
      <c r="S75" s="13">
        <v>31.58466278143203</v>
      </c>
      <c r="T75" s="13">
        <v>33.054809428484674</v>
      </c>
      <c r="U75" s="13">
        <v>33.267520837394841</v>
      </c>
      <c r="V75" s="13">
        <v>33.639842804095743</v>
      </c>
      <c r="W75" s="14">
        <v>34.278911060197586</v>
      </c>
      <c r="X75" s="5">
        <v>18</v>
      </c>
      <c r="Y75" s="5">
        <v>19</v>
      </c>
      <c r="Z75" s="5">
        <v>20</v>
      </c>
      <c r="AA75" s="5">
        <v>19</v>
      </c>
      <c r="AB75" s="5">
        <v>18</v>
      </c>
      <c r="AC75" s="5">
        <v>18</v>
      </c>
      <c r="AD75" s="6">
        <v>19</v>
      </c>
    </row>
    <row r="76" spans="2:30" x14ac:dyDescent="0.25">
      <c r="B76" s="4" t="s">
        <v>33</v>
      </c>
      <c r="C76" s="66" t="s">
        <v>479</v>
      </c>
      <c r="D76" s="13" t="s">
        <v>480</v>
      </c>
      <c r="E76" s="13" t="s">
        <v>481</v>
      </c>
      <c r="F76" s="13" t="s">
        <v>429</v>
      </c>
      <c r="G76" s="13" t="s">
        <v>428</v>
      </c>
      <c r="H76" s="13" t="s">
        <v>150</v>
      </c>
      <c r="I76" s="14" t="s">
        <v>482</v>
      </c>
      <c r="J76" s="12">
        <v>1.7945381418755431</v>
      </c>
      <c r="K76" s="12">
        <v>1.9666565067950912</v>
      </c>
      <c r="L76" s="12">
        <v>1.778660465274934</v>
      </c>
      <c r="M76" s="12">
        <v>2.0308097691345099</v>
      </c>
      <c r="N76" s="12">
        <v>2.1247600091212719</v>
      </c>
      <c r="O76" s="12">
        <v>1.9621841421115898</v>
      </c>
      <c r="P76" s="12">
        <v>2.178798949350198</v>
      </c>
      <c r="Q76" s="66">
        <v>78.852778219938813</v>
      </c>
      <c r="R76" s="13">
        <v>83.29433655940727</v>
      </c>
      <c r="S76" s="13">
        <v>80.235710329049482</v>
      </c>
      <c r="T76" s="13">
        <v>81.313477169438599</v>
      </c>
      <c r="U76" s="13">
        <v>80.179482238711842</v>
      </c>
      <c r="V76" s="13">
        <v>75.784779397130592</v>
      </c>
      <c r="W76" s="14">
        <v>78.887099903221539</v>
      </c>
      <c r="X76" s="5">
        <v>6</v>
      </c>
      <c r="Y76" s="5">
        <v>6</v>
      </c>
      <c r="Z76" s="5">
        <v>6</v>
      </c>
      <c r="AA76" s="5">
        <v>5</v>
      </c>
      <c r="AB76" s="5">
        <v>5</v>
      </c>
      <c r="AC76" s="5">
        <v>5</v>
      </c>
      <c r="AD76" s="6">
        <v>5</v>
      </c>
    </row>
    <row r="77" spans="2:30" x14ac:dyDescent="0.25">
      <c r="B77" s="4" t="s">
        <v>34</v>
      </c>
      <c r="C77" s="66" t="s">
        <v>483</v>
      </c>
      <c r="D77" s="13" t="s">
        <v>162</v>
      </c>
      <c r="E77" s="13" t="s">
        <v>320</v>
      </c>
      <c r="F77" s="13" t="s">
        <v>354</v>
      </c>
      <c r="G77" s="13" t="s">
        <v>354</v>
      </c>
      <c r="H77" s="13" t="s">
        <v>296</v>
      </c>
      <c r="I77" s="14" t="s">
        <v>478</v>
      </c>
      <c r="J77" s="12">
        <v>8.4889643463497449E-2</v>
      </c>
      <c r="K77" s="12">
        <v>0.11505932279370013</v>
      </c>
      <c r="L77" s="12">
        <v>0.20213514606135924</v>
      </c>
      <c r="M77" s="12">
        <v>0.22800741024083282</v>
      </c>
      <c r="N77" s="12">
        <v>0.20681978851736532</v>
      </c>
      <c r="O77" s="12">
        <v>0.21958667901181464</v>
      </c>
      <c r="P77" s="12">
        <v>0.20679092301469351</v>
      </c>
      <c r="Q77" s="66">
        <v>30.660823776386771</v>
      </c>
      <c r="R77" s="13">
        <v>30.581800375906255</v>
      </c>
      <c r="S77" s="13">
        <v>32.938326085885635</v>
      </c>
      <c r="T77" s="13">
        <v>34.248664240137757</v>
      </c>
      <c r="U77" s="13">
        <v>34.085368450589769</v>
      </c>
      <c r="V77" s="13">
        <v>34.586943525491598</v>
      </c>
      <c r="W77" s="14">
        <v>34.353297394088202</v>
      </c>
      <c r="X77" s="5">
        <v>22</v>
      </c>
      <c r="Y77" s="5">
        <v>21</v>
      </c>
      <c r="Z77" s="5">
        <v>17</v>
      </c>
      <c r="AA77" s="5">
        <v>17</v>
      </c>
      <c r="AB77" s="5">
        <v>17</v>
      </c>
      <c r="AC77" s="5">
        <v>17</v>
      </c>
      <c r="AD77" s="6">
        <v>18</v>
      </c>
    </row>
    <row r="78" spans="2:30" x14ac:dyDescent="0.25">
      <c r="B78" s="4" t="s">
        <v>35</v>
      </c>
      <c r="C78" s="66" t="s">
        <v>147</v>
      </c>
      <c r="D78" s="13" t="s">
        <v>302</v>
      </c>
      <c r="E78" s="13" t="s">
        <v>442</v>
      </c>
      <c r="F78" s="13" t="s">
        <v>484</v>
      </c>
      <c r="G78" s="13" t="s">
        <v>485</v>
      </c>
      <c r="H78" s="13" t="s">
        <v>300</v>
      </c>
      <c r="I78" s="14" t="s">
        <v>361</v>
      </c>
      <c r="J78" s="12">
        <v>2.5562090258491876</v>
      </c>
      <c r="K78" s="12">
        <v>2.5193925686786338</v>
      </c>
      <c r="L78" s="12">
        <v>2.1453860962759612</v>
      </c>
      <c r="M78" s="12">
        <v>2.4380412925374859</v>
      </c>
      <c r="N78" s="12">
        <v>2.1770044924204823</v>
      </c>
      <c r="O78" s="12">
        <v>2.3957341860715275</v>
      </c>
      <c r="P78" s="12">
        <v>2.3421344270910689</v>
      </c>
      <c r="Q78" s="66">
        <v>100</v>
      </c>
      <c r="R78" s="13">
        <v>99.030005156071212</v>
      </c>
      <c r="S78" s="13">
        <v>91.237857183198741</v>
      </c>
      <c r="T78" s="13">
        <v>91.944856351589777</v>
      </c>
      <c r="U78" s="13">
        <v>81.435080891957242</v>
      </c>
      <c r="V78" s="13">
        <v>86.034606985787377</v>
      </c>
      <c r="W78" s="14">
        <v>82.575700462299267</v>
      </c>
      <c r="X78" s="5">
        <v>1</v>
      </c>
      <c r="Y78" s="5">
        <v>2</v>
      </c>
      <c r="Z78" s="5">
        <v>3</v>
      </c>
      <c r="AA78" s="5">
        <v>2</v>
      </c>
      <c r="AB78" s="5">
        <v>3</v>
      </c>
      <c r="AC78" s="5">
        <v>2</v>
      </c>
      <c r="AD78" s="6">
        <v>3</v>
      </c>
    </row>
    <row r="79" spans="2:30" x14ac:dyDescent="0.25">
      <c r="B79" s="4" t="s">
        <v>36</v>
      </c>
      <c r="C79" s="66" t="s">
        <v>486</v>
      </c>
      <c r="D79" s="13" t="s">
        <v>465</v>
      </c>
      <c r="E79" s="13" t="s">
        <v>487</v>
      </c>
      <c r="F79" s="13" t="s">
        <v>487</v>
      </c>
      <c r="G79" s="13" t="s">
        <v>488</v>
      </c>
      <c r="H79" s="13" t="s">
        <v>487</v>
      </c>
      <c r="I79" s="14" t="s">
        <v>489</v>
      </c>
      <c r="J79" s="12">
        <v>0.91696033305960167</v>
      </c>
      <c r="K79" s="12">
        <v>0.96954728197501183</v>
      </c>
      <c r="L79" s="12">
        <v>0.9453579852229268</v>
      </c>
      <c r="M79" s="12">
        <v>1.0160402466755676</v>
      </c>
      <c r="N79" s="12">
        <v>1.0336614658820387</v>
      </c>
      <c r="O79" s="12">
        <v>1.0721236917459864</v>
      </c>
      <c r="P79" s="12">
        <v>1.0842315172220267</v>
      </c>
      <c r="Q79" s="66">
        <v>54.115418568284177</v>
      </c>
      <c r="R79" s="13">
        <v>54.907948555378198</v>
      </c>
      <c r="S79" s="13">
        <v>55.235777178935699</v>
      </c>
      <c r="T79" s="13">
        <v>54.821423004280504</v>
      </c>
      <c r="U79" s="13">
        <v>53.956965047697672</v>
      </c>
      <c r="V79" s="13">
        <v>54.74230393938933</v>
      </c>
      <c r="W79" s="14">
        <v>54.168513972358809</v>
      </c>
      <c r="X79" s="5">
        <v>10</v>
      </c>
      <c r="Y79" s="5">
        <v>10</v>
      </c>
      <c r="Z79" s="5">
        <v>9</v>
      </c>
      <c r="AA79" s="5">
        <v>9</v>
      </c>
      <c r="AB79" s="5">
        <v>9</v>
      </c>
      <c r="AC79" s="5">
        <v>9</v>
      </c>
      <c r="AD79" s="6">
        <v>8</v>
      </c>
    </row>
    <row r="80" spans="2:30" x14ac:dyDescent="0.25">
      <c r="B80" s="4" t="s">
        <v>37</v>
      </c>
      <c r="C80" s="66" t="s">
        <v>177</v>
      </c>
      <c r="D80" s="13" t="s">
        <v>490</v>
      </c>
      <c r="E80" s="13" t="s">
        <v>491</v>
      </c>
      <c r="F80" s="13" t="s">
        <v>176</v>
      </c>
      <c r="G80" s="13" t="s">
        <v>492</v>
      </c>
      <c r="H80" s="13" t="s">
        <v>447</v>
      </c>
      <c r="I80" s="14" t="s">
        <v>492</v>
      </c>
      <c r="J80" s="12">
        <v>1.9896639376591161</v>
      </c>
      <c r="K80" s="12">
        <v>2.0899966025620449</v>
      </c>
      <c r="L80" s="12">
        <v>1.979601659249888</v>
      </c>
      <c r="M80" s="12">
        <v>2.1224231013577048</v>
      </c>
      <c r="N80" s="12">
        <v>2.1480435331407941</v>
      </c>
      <c r="O80" s="12">
        <v>2.2787599327257406</v>
      </c>
      <c r="P80" s="12">
        <v>2.2911626590248297</v>
      </c>
      <c r="Q80" s="66">
        <v>84.353027815044427</v>
      </c>
      <c r="R80" s="13">
        <v>86.805666840727866</v>
      </c>
      <c r="S80" s="13">
        <v>86.264153225516523</v>
      </c>
      <c r="T80" s="13">
        <v>83.705178246178122</v>
      </c>
      <c r="U80" s="13">
        <v>80.739058284938352</v>
      </c>
      <c r="V80" s="13">
        <v>83.269145545269197</v>
      </c>
      <c r="W80" s="14">
        <v>81.424606439207764</v>
      </c>
      <c r="X80" s="5">
        <v>5</v>
      </c>
      <c r="Y80" s="5">
        <v>5</v>
      </c>
      <c r="Z80" s="5">
        <v>5</v>
      </c>
      <c r="AA80" s="5">
        <v>4</v>
      </c>
      <c r="AB80" s="5">
        <v>4</v>
      </c>
      <c r="AC80" s="5">
        <v>4</v>
      </c>
      <c r="AD80" s="6">
        <v>4</v>
      </c>
    </row>
    <row r="81" spans="2:30" x14ac:dyDescent="0.25">
      <c r="B81" s="4" t="s">
        <v>38</v>
      </c>
      <c r="C81" s="66" t="s">
        <v>162</v>
      </c>
      <c r="D81" s="13" t="s">
        <v>493</v>
      </c>
      <c r="E81" s="13" t="s">
        <v>493</v>
      </c>
      <c r="F81" s="13" t="s">
        <v>483</v>
      </c>
      <c r="G81" s="13" t="s">
        <v>226</v>
      </c>
      <c r="H81" s="13" t="s">
        <v>227</v>
      </c>
      <c r="I81" s="14" t="s">
        <v>227</v>
      </c>
      <c r="J81" s="12">
        <v>8.8031170751755677E-2</v>
      </c>
      <c r="K81" s="12">
        <v>0.1006061048320978</v>
      </c>
      <c r="L81" s="12">
        <v>0.10660681672402703</v>
      </c>
      <c r="M81" s="12">
        <v>0.10479709601166574</v>
      </c>
      <c r="N81" s="12">
        <v>0.10806056282112507</v>
      </c>
      <c r="O81" s="12">
        <v>9.9886614706377566E-2</v>
      </c>
      <c r="P81" s="12">
        <v>9.8531579234674385E-2</v>
      </c>
      <c r="Q81" s="66">
        <v>30.749377850571925</v>
      </c>
      <c r="R81" s="13">
        <v>30.170336272724501</v>
      </c>
      <c r="S81" s="13">
        <v>30.072377760343269</v>
      </c>
      <c r="T81" s="13">
        <v>31.032077373835499</v>
      </c>
      <c r="U81" s="13">
        <v>31.711874773380185</v>
      </c>
      <c r="V81" s="13">
        <v>31.757039484251944</v>
      </c>
      <c r="W81" s="14">
        <v>31.908479639148958</v>
      </c>
      <c r="X81" s="5">
        <v>21</v>
      </c>
      <c r="Y81" s="5">
        <v>22</v>
      </c>
      <c r="Z81" s="5">
        <v>22</v>
      </c>
      <c r="AA81" s="5">
        <v>22</v>
      </c>
      <c r="AB81" s="5">
        <v>22</v>
      </c>
      <c r="AC81" s="5">
        <v>23</v>
      </c>
      <c r="AD81" s="6">
        <v>23</v>
      </c>
    </row>
    <row r="82" spans="2:30" x14ac:dyDescent="0.25">
      <c r="B82" s="4" t="s">
        <v>39</v>
      </c>
      <c r="C82" s="66" t="s">
        <v>320</v>
      </c>
      <c r="D82" s="13" t="s">
        <v>477</v>
      </c>
      <c r="E82" s="13" t="s">
        <v>165</v>
      </c>
      <c r="F82" s="13" t="s">
        <v>159</v>
      </c>
      <c r="G82" s="13" t="s">
        <v>452</v>
      </c>
      <c r="H82" s="13" t="s">
        <v>159</v>
      </c>
      <c r="I82" s="14" t="s">
        <v>494</v>
      </c>
      <c r="J82" s="12">
        <v>0.15278917736041894</v>
      </c>
      <c r="K82" s="12">
        <v>0.17679732247622568</v>
      </c>
      <c r="L82" s="12">
        <v>0.18472780562208557</v>
      </c>
      <c r="M82" s="12">
        <v>0.16316628061964042</v>
      </c>
      <c r="N82" s="12">
        <v>0.17164507483785349</v>
      </c>
      <c r="O82" s="12">
        <v>0.16663436342904323</v>
      </c>
      <c r="P82" s="12">
        <v>0.1574358464063956</v>
      </c>
      <c r="Q82" s="66">
        <v>32.574791031841997</v>
      </c>
      <c r="R82" s="13">
        <v>32.339400014899688</v>
      </c>
      <c r="S82" s="13">
        <v>32.416087933809152</v>
      </c>
      <c r="T82" s="13">
        <v>32.555890974842754</v>
      </c>
      <c r="U82" s="13">
        <v>33.240009853178677</v>
      </c>
      <c r="V82" s="13">
        <v>33.335064733861948</v>
      </c>
      <c r="W82" s="14">
        <v>33.238713069306584</v>
      </c>
      <c r="X82" s="5">
        <v>17</v>
      </c>
      <c r="Y82" s="5">
        <v>18</v>
      </c>
      <c r="Z82" s="5">
        <v>19</v>
      </c>
      <c r="AA82" s="5">
        <v>20</v>
      </c>
      <c r="AB82" s="5">
        <v>19</v>
      </c>
      <c r="AC82" s="5">
        <v>20</v>
      </c>
      <c r="AD82" s="6">
        <v>21</v>
      </c>
    </row>
    <row r="83" spans="2:30" x14ac:dyDescent="0.25">
      <c r="B83" s="4" t="s">
        <v>40</v>
      </c>
      <c r="C83" s="66" t="s">
        <v>280</v>
      </c>
      <c r="D83" s="13" t="s">
        <v>487</v>
      </c>
      <c r="E83" s="13" t="s">
        <v>495</v>
      </c>
      <c r="F83" s="13" t="s">
        <v>496</v>
      </c>
      <c r="G83" s="13" t="s">
        <v>307</v>
      </c>
      <c r="H83" s="13" t="s">
        <v>307</v>
      </c>
      <c r="I83" s="14" t="s">
        <v>307</v>
      </c>
      <c r="J83" s="12">
        <v>0.99467341671355469</v>
      </c>
      <c r="K83" s="12">
        <v>0.98277948702993534</v>
      </c>
      <c r="L83" s="12">
        <v>0.96697381871939225</v>
      </c>
      <c r="M83" s="12">
        <v>0.90187161990474407</v>
      </c>
      <c r="N83" s="12">
        <v>0.91645352394866542</v>
      </c>
      <c r="O83" s="12">
        <v>0.93350938648270543</v>
      </c>
      <c r="P83" s="12">
        <v>0.95598275528213683</v>
      </c>
      <c r="Q83" s="66">
        <v>56.306012360281663</v>
      </c>
      <c r="R83" s="13">
        <v>55.284652027262851</v>
      </c>
      <c r="S83" s="13">
        <v>55.884274459733305</v>
      </c>
      <c r="T83" s="13">
        <v>51.840882716624449</v>
      </c>
      <c r="U83" s="13">
        <v>51.140090906204676</v>
      </c>
      <c r="V83" s="13">
        <v>51.46523650492874</v>
      </c>
      <c r="W83" s="14">
        <v>51.272275742088944</v>
      </c>
      <c r="X83" s="5">
        <v>9</v>
      </c>
      <c r="Y83" s="5">
        <v>9</v>
      </c>
      <c r="Z83" s="5">
        <v>8</v>
      </c>
      <c r="AA83" s="5">
        <v>10</v>
      </c>
      <c r="AB83" s="5">
        <v>10</v>
      </c>
      <c r="AC83" s="5">
        <v>10</v>
      </c>
      <c r="AD83" s="6">
        <v>10</v>
      </c>
    </row>
    <row r="84" spans="2:30" x14ac:dyDescent="0.25">
      <c r="B84" s="4" t="s">
        <v>41</v>
      </c>
      <c r="C84" s="66" t="s">
        <v>270</v>
      </c>
      <c r="D84" s="13" t="s">
        <v>497</v>
      </c>
      <c r="E84" s="13" t="s">
        <v>325</v>
      </c>
      <c r="F84" s="13" t="s">
        <v>282</v>
      </c>
      <c r="G84" s="13" t="s">
        <v>497</v>
      </c>
      <c r="H84" s="13" t="s">
        <v>497</v>
      </c>
      <c r="I84" s="14" t="s">
        <v>282</v>
      </c>
      <c r="J84" s="12">
        <v>0.4899204008591409</v>
      </c>
      <c r="K84" s="12">
        <v>0.48122108251300555</v>
      </c>
      <c r="L84" s="12">
        <v>0.44958875493202727</v>
      </c>
      <c r="M84" s="12">
        <v>0.47213942361990918</v>
      </c>
      <c r="N84" s="12">
        <v>0.47684911687402054</v>
      </c>
      <c r="O84" s="12">
        <v>0.48023201993419995</v>
      </c>
      <c r="P84" s="12">
        <v>0.48413990282721048</v>
      </c>
      <c r="Q84" s="66">
        <v>42.077921400125248</v>
      </c>
      <c r="R84" s="13">
        <v>41.005944015241028</v>
      </c>
      <c r="S84" s="13">
        <v>40.362189361961583</v>
      </c>
      <c r="T84" s="13">
        <v>40.622090302654591</v>
      </c>
      <c r="U84" s="13">
        <v>40.575019407220054</v>
      </c>
      <c r="V84" s="13">
        <v>40.749022951985637</v>
      </c>
      <c r="W84" s="14">
        <v>40.61666170505012</v>
      </c>
      <c r="X84" s="5">
        <v>12</v>
      </c>
      <c r="Y84" s="5">
        <v>14</v>
      </c>
      <c r="Z84" s="5">
        <v>14</v>
      </c>
      <c r="AA84" s="5">
        <v>13</v>
      </c>
      <c r="AB84" s="5">
        <v>14</v>
      </c>
      <c r="AC84" s="5">
        <v>14</v>
      </c>
      <c r="AD84" s="6">
        <v>13</v>
      </c>
    </row>
    <row r="85" spans="2:30" x14ac:dyDescent="0.25">
      <c r="B85" s="4" t="s">
        <v>42</v>
      </c>
      <c r="C85" s="66" t="s">
        <v>474</v>
      </c>
      <c r="D85" s="13" t="s">
        <v>287</v>
      </c>
      <c r="E85" s="13" t="s">
        <v>352</v>
      </c>
      <c r="F85" s="13" t="s">
        <v>478</v>
      </c>
      <c r="G85" s="13" t="s">
        <v>159</v>
      </c>
      <c r="H85" s="13" t="s">
        <v>181</v>
      </c>
      <c r="I85" s="14" t="s">
        <v>498</v>
      </c>
      <c r="J85" s="12">
        <v>9.9147063617102182E-2</v>
      </c>
      <c r="K85" s="12">
        <v>0.17884761909107086</v>
      </c>
      <c r="L85" s="12">
        <v>0.23256523616699204</v>
      </c>
      <c r="M85" s="12">
        <v>0.21410004414044964</v>
      </c>
      <c r="N85" s="12">
        <v>0.15665632734906162</v>
      </c>
      <c r="O85" s="12">
        <v>0.17556617646699232</v>
      </c>
      <c r="P85" s="12">
        <v>0.23717465689968253</v>
      </c>
      <c r="Q85" s="66">
        <v>31.062715126078405</v>
      </c>
      <c r="R85" s="13">
        <v>32.397769262504276</v>
      </c>
      <c r="S85" s="13">
        <v>33.851260148370706</v>
      </c>
      <c r="T85" s="13">
        <v>33.885591948477611</v>
      </c>
      <c r="U85" s="13">
        <v>32.879783280490059</v>
      </c>
      <c r="V85" s="13">
        <v>33.546227308906126</v>
      </c>
      <c r="W85" s="14">
        <v>35.039452412857869</v>
      </c>
      <c r="X85" s="5">
        <v>20</v>
      </c>
      <c r="Y85" s="5">
        <v>17</v>
      </c>
      <c r="Z85" s="5">
        <v>16</v>
      </c>
      <c r="AA85" s="5">
        <v>18</v>
      </c>
      <c r="AB85" s="5">
        <v>20</v>
      </c>
      <c r="AC85" s="5">
        <v>19</v>
      </c>
      <c r="AD85" s="6">
        <v>16</v>
      </c>
    </row>
    <row r="86" spans="2:30" x14ac:dyDescent="0.25">
      <c r="B86" s="4" t="s">
        <v>43</v>
      </c>
      <c r="C86" s="66" t="s">
        <v>499</v>
      </c>
      <c r="D86" s="13" t="s">
        <v>500</v>
      </c>
      <c r="E86" s="13" t="s">
        <v>500</v>
      </c>
      <c r="F86" s="13" t="s">
        <v>471</v>
      </c>
      <c r="G86" s="13" t="s">
        <v>470</v>
      </c>
      <c r="H86" s="13" t="s">
        <v>413</v>
      </c>
      <c r="I86" s="14" t="s">
        <v>413</v>
      </c>
      <c r="J86" s="12">
        <v>3.1077085633986392E-2</v>
      </c>
      <c r="K86" s="12">
        <v>4.1710698949917593E-2</v>
      </c>
      <c r="L86" s="12">
        <v>4.3657753365730106E-2</v>
      </c>
      <c r="M86" s="12">
        <v>5.5379162667060472E-2</v>
      </c>
      <c r="N86" s="12">
        <v>4.6517905462512464E-2</v>
      </c>
      <c r="O86" s="12">
        <v>6.5254136562924794E-2</v>
      </c>
      <c r="P86" s="12">
        <v>7.4026592370886685E-2</v>
      </c>
      <c r="Q86" s="66">
        <v>29.143943354581033</v>
      </c>
      <c r="R86" s="13">
        <v>28.49366153999599</v>
      </c>
      <c r="S86" s="13">
        <v>28.18384098829204</v>
      </c>
      <c r="T86" s="13">
        <v>29.741949381300696</v>
      </c>
      <c r="U86" s="13">
        <v>30.232811859616334</v>
      </c>
      <c r="V86" s="13">
        <v>30.93827142071758</v>
      </c>
      <c r="W86" s="14">
        <v>31.355084201145218</v>
      </c>
      <c r="X86" s="5">
        <v>28</v>
      </c>
      <c r="Y86" s="5">
        <v>28</v>
      </c>
      <c r="Z86" s="5">
        <v>28</v>
      </c>
      <c r="AA86" s="5">
        <v>27</v>
      </c>
      <c r="AB86" s="5">
        <v>28</v>
      </c>
      <c r="AC86" s="5">
        <v>26</v>
      </c>
      <c r="AD86" s="6">
        <v>26</v>
      </c>
    </row>
    <row r="87" spans="2:30" x14ac:dyDescent="0.25">
      <c r="B87" s="4" t="s">
        <v>44</v>
      </c>
      <c r="C87" s="66" t="s">
        <v>147</v>
      </c>
      <c r="D87" s="13" t="s">
        <v>147</v>
      </c>
      <c r="E87" s="13" t="s">
        <v>147</v>
      </c>
      <c r="F87" s="13" t="s">
        <v>147</v>
      </c>
      <c r="G87" s="13" t="s">
        <v>147</v>
      </c>
      <c r="H87" s="13" t="s">
        <v>147</v>
      </c>
      <c r="I87" s="14" t="s">
        <v>147</v>
      </c>
      <c r="J87" s="12">
        <v>3.0177220293708142</v>
      </c>
      <c r="K87" s="12">
        <v>2.7573434422146388</v>
      </c>
      <c r="L87" s="12">
        <v>3.0111448834853092</v>
      </c>
      <c r="M87" s="12">
        <v>3.7644453119709365</v>
      </c>
      <c r="N87" s="12">
        <v>4.5873710534542047</v>
      </c>
      <c r="O87" s="12">
        <v>4.6660684039150011</v>
      </c>
      <c r="P87" s="12">
        <v>4.9344647223013602</v>
      </c>
      <c r="Q87" s="66">
        <v>100</v>
      </c>
      <c r="R87" s="13">
        <v>100</v>
      </c>
      <c r="S87" s="13">
        <v>100</v>
      </c>
      <c r="T87" s="13">
        <v>100</v>
      </c>
      <c r="U87" s="13">
        <v>100</v>
      </c>
      <c r="V87" s="13">
        <v>100</v>
      </c>
      <c r="W87" s="14">
        <v>100</v>
      </c>
      <c r="X87" s="5">
        <v>1</v>
      </c>
      <c r="Y87" s="5">
        <v>1</v>
      </c>
      <c r="Z87" s="5">
        <v>1</v>
      </c>
      <c r="AA87" s="5">
        <v>1</v>
      </c>
      <c r="AB87" s="5">
        <v>1</v>
      </c>
      <c r="AC87" s="5">
        <v>1</v>
      </c>
      <c r="AD87" s="6">
        <v>1</v>
      </c>
    </row>
    <row r="88" spans="2:30" x14ac:dyDescent="0.25">
      <c r="B88" s="4" t="s">
        <v>18</v>
      </c>
      <c r="C88" s="66" t="s">
        <v>501</v>
      </c>
      <c r="D88" s="13" t="s">
        <v>328</v>
      </c>
      <c r="E88" s="13" t="s">
        <v>502</v>
      </c>
      <c r="F88" s="13" t="s">
        <v>311</v>
      </c>
      <c r="G88" s="13" t="s">
        <v>503</v>
      </c>
      <c r="H88" s="13" t="s">
        <v>504</v>
      </c>
      <c r="I88" s="14" t="s">
        <v>504</v>
      </c>
      <c r="J88" s="12">
        <v>0.32050017750779064</v>
      </c>
      <c r="K88" s="12">
        <v>0.36534651523176209</v>
      </c>
      <c r="L88" s="12">
        <v>0.63758438258956607</v>
      </c>
      <c r="M88" s="12">
        <v>0.37437171971876232</v>
      </c>
      <c r="N88" s="12">
        <v>0.66748757195973873</v>
      </c>
      <c r="O88" s="12">
        <v>0.63466061224392045</v>
      </c>
      <c r="P88" s="12">
        <v>0.64789588099600348</v>
      </c>
      <c r="Q88" s="66">
        <v>37.302266232909176</v>
      </c>
      <c r="R88" s="13">
        <v>37.70714750953438</v>
      </c>
      <c r="S88" s="13">
        <v>46.00225192802862</v>
      </c>
      <c r="T88" s="13">
        <v>38.069720281651016</v>
      </c>
      <c r="U88" s="13">
        <v>45.156658890407911</v>
      </c>
      <c r="V88" s="13">
        <v>44.399965831557502</v>
      </c>
      <c r="W88" s="14">
        <v>44.314758413617085</v>
      </c>
      <c r="X88" s="5">
        <v>14</v>
      </c>
      <c r="Y88" s="5">
        <v>15</v>
      </c>
      <c r="Z88" s="5">
        <v>12</v>
      </c>
      <c r="AA88" s="5">
        <v>14</v>
      </c>
      <c r="AB88" s="5">
        <v>12</v>
      </c>
      <c r="AC88" s="5">
        <v>12</v>
      </c>
      <c r="AD88" s="6">
        <v>12</v>
      </c>
    </row>
    <row r="89" spans="2:30" x14ac:dyDescent="0.25">
      <c r="B89" s="4" t="s">
        <v>45</v>
      </c>
      <c r="C89" s="66" t="s">
        <v>228</v>
      </c>
      <c r="D89" s="13" t="s">
        <v>505</v>
      </c>
      <c r="E89" s="13" t="s">
        <v>506</v>
      </c>
      <c r="F89" s="13" t="s">
        <v>507</v>
      </c>
      <c r="G89" s="13" t="s">
        <v>460</v>
      </c>
      <c r="H89" s="13" t="s">
        <v>459</v>
      </c>
      <c r="I89" s="14" t="s">
        <v>229</v>
      </c>
      <c r="J89" s="12">
        <v>2.209195358452309</v>
      </c>
      <c r="K89" s="12">
        <v>2.2624868800813682</v>
      </c>
      <c r="L89" s="12">
        <v>2.0972611134670123</v>
      </c>
      <c r="M89" s="12">
        <v>2.015385952895655</v>
      </c>
      <c r="N89" s="12">
        <v>2.0129925919495069</v>
      </c>
      <c r="O89" s="12">
        <v>1.8711505582549746</v>
      </c>
      <c r="P89" s="12">
        <v>2.0017789485132966</v>
      </c>
      <c r="Q89" s="66">
        <v>90.541228629200319</v>
      </c>
      <c r="R89" s="13">
        <v>91.716238142953728</v>
      </c>
      <c r="S89" s="13">
        <v>89.794058104382827</v>
      </c>
      <c r="T89" s="13">
        <v>80.910815711649576</v>
      </c>
      <c r="U89" s="13">
        <v>77.49336095631979</v>
      </c>
      <c r="V89" s="13">
        <v>73.632597538756585</v>
      </c>
      <c r="W89" s="14">
        <v>74.88946213899473</v>
      </c>
      <c r="X89" s="5">
        <v>4</v>
      </c>
      <c r="Y89" s="5">
        <v>4</v>
      </c>
      <c r="Z89" s="5">
        <v>4</v>
      </c>
      <c r="AA89" s="5">
        <v>6</v>
      </c>
      <c r="AB89" s="5">
        <v>6</v>
      </c>
      <c r="AC89" s="5">
        <v>6</v>
      </c>
      <c r="AD89" s="6">
        <v>6</v>
      </c>
    </row>
    <row r="90" spans="2:30" x14ac:dyDescent="0.25">
      <c r="B90" s="4" t="s">
        <v>46</v>
      </c>
      <c r="C90" s="66" t="s">
        <v>475</v>
      </c>
      <c r="D90" s="13" t="s">
        <v>508</v>
      </c>
      <c r="E90" s="13" t="s">
        <v>508</v>
      </c>
      <c r="F90" s="13" t="s">
        <v>162</v>
      </c>
      <c r="G90" s="13" t="s">
        <v>509</v>
      </c>
      <c r="H90" s="13" t="s">
        <v>494</v>
      </c>
      <c r="I90" s="14" t="s">
        <v>159</v>
      </c>
      <c r="J90" s="12">
        <v>7.4858075881485978E-2</v>
      </c>
      <c r="K90" s="12">
        <v>8.1331440811922853E-2</v>
      </c>
      <c r="L90" s="12">
        <v>9.3114420657335897E-2</v>
      </c>
      <c r="M90" s="12">
        <v>0.1068567445554937</v>
      </c>
      <c r="N90" s="12">
        <v>0.12876116729236203</v>
      </c>
      <c r="O90" s="12">
        <v>0.15875979986439606</v>
      </c>
      <c r="P90" s="12">
        <v>0.15844977219725379</v>
      </c>
      <c r="Q90" s="66">
        <v>30.378051704607838</v>
      </c>
      <c r="R90" s="13">
        <v>29.621611942526162</v>
      </c>
      <c r="S90" s="13">
        <v>29.667591973937011</v>
      </c>
      <c r="T90" s="13">
        <v>31.08584753501659</v>
      </c>
      <c r="U90" s="13">
        <v>32.209375168715582</v>
      </c>
      <c r="V90" s="13">
        <v>33.148897254471699</v>
      </c>
      <c r="W90" s="14">
        <v>33.261610527291538</v>
      </c>
      <c r="X90" s="5">
        <v>23</v>
      </c>
      <c r="Y90" s="5">
        <v>24</v>
      </c>
      <c r="Z90" s="5">
        <v>24</v>
      </c>
      <c r="AA90" s="5">
        <v>21</v>
      </c>
      <c r="AB90" s="5">
        <v>21</v>
      </c>
      <c r="AC90" s="5">
        <v>21</v>
      </c>
      <c r="AD90" s="6">
        <v>20</v>
      </c>
    </row>
    <row r="91" spans="2:30" x14ac:dyDescent="0.25">
      <c r="B91" s="4" t="s">
        <v>47</v>
      </c>
      <c r="C91" s="66" t="s">
        <v>409</v>
      </c>
      <c r="D91" s="13" t="s">
        <v>475</v>
      </c>
      <c r="E91" s="13" t="s">
        <v>510</v>
      </c>
      <c r="F91" s="13" t="s">
        <v>230</v>
      </c>
      <c r="G91" s="13" t="s">
        <v>230</v>
      </c>
      <c r="H91" s="13" t="s">
        <v>226</v>
      </c>
      <c r="I91" s="14" t="s">
        <v>511</v>
      </c>
      <c r="J91" s="12">
        <v>6.6175568625678707E-2</v>
      </c>
      <c r="K91" s="12">
        <v>8.3954471660580593E-2</v>
      </c>
      <c r="L91" s="12">
        <v>0.10820775206773371</v>
      </c>
      <c r="M91" s="12">
        <v>0.10034540192494827</v>
      </c>
      <c r="N91" s="12">
        <v>9.6474691803557486E-2</v>
      </c>
      <c r="O91" s="12">
        <v>0.10699652963206284</v>
      </c>
      <c r="P91" s="12">
        <v>0.12567594923721467</v>
      </c>
      <c r="Q91" s="66">
        <v>30.133307247184973</v>
      </c>
      <c r="R91" s="13">
        <v>29.696286180376052</v>
      </c>
      <c r="S91" s="13">
        <v>30.120407470476643</v>
      </c>
      <c r="T91" s="13">
        <v>30.915859337855998</v>
      </c>
      <c r="U91" s="13">
        <v>31.433429985956046</v>
      </c>
      <c r="V91" s="13">
        <v>31.925129427209082</v>
      </c>
      <c r="W91" s="14">
        <v>32.521480193296959</v>
      </c>
      <c r="X91" s="5">
        <v>25</v>
      </c>
      <c r="Y91" s="5">
        <v>23</v>
      </c>
      <c r="Z91" s="5">
        <v>21</v>
      </c>
      <c r="AA91" s="5">
        <v>23</v>
      </c>
      <c r="AB91" s="5">
        <v>23</v>
      </c>
      <c r="AC91" s="5">
        <v>22</v>
      </c>
      <c r="AD91" s="6">
        <v>22</v>
      </c>
    </row>
    <row r="92" spans="2:30" x14ac:dyDescent="0.25">
      <c r="B92" s="4" t="s">
        <v>48</v>
      </c>
      <c r="C92" s="66" t="s">
        <v>471</v>
      </c>
      <c r="D92" s="13" t="s">
        <v>512</v>
      </c>
      <c r="E92" s="13" t="s">
        <v>412</v>
      </c>
      <c r="F92" s="13" t="s">
        <v>409</v>
      </c>
      <c r="G92" s="13" t="s">
        <v>413</v>
      </c>
      <c r="H92" s="13" t="s">
        <v>473</v>
      </c>
      <c r="I92" s="14" t="s">
        <v>472</v>
      </c>
      <c r="J92" s="12">
        <v>4.5668576843627434E-2</v>
      </c>
      <c r="K92" s="12">
        <v>5.4420885214092635E-2</v>
      </c>
      <c r="L92" s="12">
        <v>5.6261432690045E-2</v>
      </c>
      <c r="M92" s="12">
        <v>7.3960258457843361E-2</v>
      </c>
      <c r="N92" s="12">
        <v>7.9162103541556061E-2</v>
      </c>
      <c r="O92" s="12">
        <v>6.1902878563471056E-2</v>
      </c>
      <c r="P92" s="12">
        <v>6.1987782862341065E-2</v>
      </c>
      <c r="Q92" s="66">
        <v>29.555251573955747</v>
      </c>
      <c r="R92" s="13">
        <v>28.85550382358679</v>
      </c>
      <c r="S92" s="13">
        <v>28.561964356572041</v>
      </c>
      <c r="T92" s="13">
        <v>30.227036275657369</v>
      </c>
      <c r="U92" s="13">
        <v>31.017354237221639</v>
      </c>
      <c r="V92" s="13">
        <v>30.859042235579544</v>
      </c>
      <c r="W92" s="14">
        <v>31.083212100251735</v>
      </c>
      <c r="X92" s="5">
        <v>27</v>
      </c>
      <c r="Y92" s="5">
        <v>27</v>
      </c>
      <c r="Z92" s="5">
        <v>26</v>
      </c>
      <c r="AA92" s="5">
        <v>25</v>
      </c>
      <c r="AB92" s="5">
        <v>26</v>
      </c>
      <c r="AC92" s="5">
        <v>27</v>
      </c>
      <c r="AD92" s="6">
        <v>28</v>
      </c>
    </row>
    <row r="93" spans="2:30" x14ac:dyDescent="0.25">
      <c r="B93" s="4" t="s">
        <v>56</v>
      </c>
      <c r="C93" s="66" t="s">
        <v>508</v>
      </c>
      <c r="D93" s="13" t="s">
        <v>411</v>
      </c>
      <c r="E93" s="13" t="s">
        <v>411</v>
      </c>
      <c r="F93" s="13" t="s">
        <v>469</v>
      </c>
      <c r="G93" s="13" t="s">
        <v>407</v>
      </c>
      <c r="H93" s="13" t="s">
        <v>407</v>
      </c>
      <c r="I93" s="14" t="s">
        <v>407</v>
      </c>
      <c r="J93" s="12">
        <v>6.8302197209101495E-2</v>
      </c>
      <c r="K93" s="12">
        <v>5.8221033082939487E-2</v>
      </c>
      <c r="L93" s="12">
        <v>6.0196183822052649E-2</v>
      </c>
      <c r="M93" s="12">
        <v>6.9011448108770954E-2</v>
      </c>
      <c r="N93" s="12">
        <v>8.1781069295826056E-2</v>
      </c>
      <c r="O93" s="12">
        <v>6.8093648009870611E-2</v>
      </c>
      <c r="P93" s="12">
        <v>7.4110544100763717E-2</v>
      </c>
      <c r="Q93" s="66">
        <v>30.193253129572994</v>
      </c>
      <c r="R93" s="13">
        <v>28.963689034587357</v>
      </c>
      <c r="S93" s="13">
        <v>28.68001094543661</v>
      </c>
      <c r="T93" s="13">
        <v>30.097840286894286</v>
      </c>
      <c r="U93" s="13">
        <v>31.080296191401267</v>
      </c>
      <c r="V93" s="13">
        <v>31.005402085730044</v>
      </c>
      <c r="W93" s="14">
        <v>31.356980080730246</v>
      </c>
      <c r="X93" s="5">
        <v>24</v>
      </c>
      <c r="Y93" s="5">
        <v>25</v>
      </c>
      <c r="Z93" s="5">
        <v>25</v>
      </c>
      <c r="AA93" s="5">
        <v>26</v>
      </c>
      <c r="AB93" s="5">
        <v>25</v>
      </c>
      <c r="AC93" s="5">
        <v>25</v>
      </c>
      <c r="AD93" s="6">
        <v>25</v>
      </c>
    </row>
    <row r="94" spans="2:30" x14ac:dyDescent="0.25">
      <c r="B94" s="4" t="s">
        <v>49</v>
      </c>
      <c r="C94" s="66" t="s">
        <v>513</v>
      </c>
      <c r="D94" s="13" t="s">
        <v>282</v>
      </c>
      <c r="E94" s="13" t="s">
        <v>513</v>
      </c>
      <c r="F94" s="13" t="s">
        <v>270</v>
      </c>
      <c r="G94" s="13" t="s">
        <v>514</v>
      </c>
      <c r="H94" s="13" t="s">
        <v>498</v>
      </c>
      <c r="I94" s="14" t="s">
        <v>333</v>
      </c>
      <c r="J94" s="12">
        <v>0.43225723334479055</v>
      </c>
      <c r="K94" s="12">
        <v>0.48799439279021861</v>
      </c>
      <c r="L94" s="12">
        <v>0.45267526159217697</v>
      </c>
      <c r="M94" s="12">
        <v>0.50953210980490238</v>
      </c>
      <c r="N94" s="12">
        <v>0.5526319768567679</v>
      </c>
      <c r="O94" s="12">
        <v>0.24130428859992917</v>
      </c>
      <c r="P94" s="12">
        <v>0.26034317699304604</v>
      </c>
      <c r="Q94" s="66">
        <v>40.452499130867224</v>
      </c>
      <c r="R94" s="13">
        <v>41.19877124902311</v>
      </c>
      <c r="S94" s="13">
        <v>40.454787742523592</v>
      </c>
      <c r="T94" s="13">
        <v>41.598281492741975</v>
      </c>
      <c r="U94" s="13">
        <v>42.396319014845041</v>
      </c>
      <c r="V94" s="13">
        <v>35.100383108804159</v>
      </c>
      <c r="W94" s="14">
        <v>35.56266645888995</v>
      </c>
      <c r="X94" s="5">
        <v>13</v>
      </c>
      <c r="Y94" s="5">
        <v>13</v>
      </c>
      <c r="Z94" s="5">
        <v>13</v>
      </c>
      <c r="AA94" s="5">
        <v>12</v>
      </c>
      <c r="AB94" s="5">
        <v>13</v>
      </c>
      <c r="AC94" s="5">
        <v>16</v>
      </c>
      <c r="AD94" s="6">
        <v>15</v>
      </c>
    </row>
    <row r="95" spans="2:30" x14ac:dyDescent="0.25">
      <c r="B95" s="4" t="s">
        <v>50</v>
      </c>
      <c r="C95" s="66" t="s">
        <v>352</v>
      </c>
      <c r="D95" s="13" t="s">
        <v>352</v>
      </c>
      <c r="E95" s="13" t="s">
        <v>225</v>
      </c>
      <c r="F95" s="13" t="s">
        <v>352</v>
      </c>
      <c r="G95" s="13" t="s">
        <v>498</v>
      </c>
      <c r="H95" s="13" t="s">
        <v>330</v>
      </c>
      <c r="I95" s="14" t="s">
        <v>296</v>
      </c>
      <c r="J95" s="12">
        <v>0.20931271431163517</v>
      </c>
      <c r="K95" s="12">
        <v>0.22166050321423059</v>
      </c>
      <c r="L95" s="12">
        <v>0.20110610303064236</v>
      </c>
      <c r="M95" s="12">
        <v>0.23112027140541239</v>
      </c>
      <c r="N95" s="12">
        <v>0.23206890565089713</v>
      </c>
      <c r="O95" s="12">
        <v>0.25297843986760798</v>
      </c>
      <c r="P95" s="12">
        <v>0.23566225652388756</v>
      </c>
      <c r="Q95" s="66">
        <v>34.168089139769755</v>
      </c>
      <c r="R95" s="13">
        <v>33.616595756172345</v>
      </c>
      <c r="S95" s="13">
        <v>32.907453734497814</v>
      </c>
      <c r="T95" s="13">
        <v>34.329930069230478</v>
      </c>
      <c r="U95" s="13">
        <v>34.692183858963745</v>
      </c>
      <c r="V95" s="13">
        <v>35.376379016092471</v>
      </c>
      <c r="W95" s="14">
        <v>35.005297917160632</v>
      </c>
      <c r="X95" s="5">
        <v>16</v>
      </c>
      <c r="Y95" s="5">
        <v>16</v>
      </c>
      <c r="Z95" s="5">
        <v>18</v>
      </c>
      <c r="AA95" s="5">
        <v>16</v>
      </c>
      <c r="AB95" s="5">
        <v>16</v>
      </c>
      <c r="AC95" s="5">
        <v>15</v>
      </c>
      <c r="AD95" s="6">
        <v>17</v>
      </c>
    </row>
    <row r="96" spans="2:30" x14ac:dyDescent="0.25">
      <c r="B96" s="4" t="s">
        <v>51</v>
      </c>
      <c r="C96" s="66" t="s">
        <v>187</v>
      </c>
      <c r="D96" s="13" t="s">
        <v>231</v>
      </c>
      <c r="E96" s="13" t="s">
        <v>232</v>
      </c>
      <c r="F96" s="13" t="s">
        <v>442</v>
      </c>
      <c r="G96" s="13" t="s">
        <v>515</v>
      </c>
      <c r="H96" s="13" t="s">
        <v>276</v>
      </c>
      <c r="I96" s="14" t="s">
        <v>516</v>
      </c>
      <c r="J96" s="12">
        <v>2.2645032396211366</v>
      </c>
      <c r="K96" s="12">
        <v>2.4350623717252682</v>
      </c>
      <c r="L96" s="12">
        <v>2.2297132983454491</v>
      </c>
      <c r="M96" s="12">
        <v>2.4033576991487342</v>
      </c>
      <c r="N96" s="12">
        <v>2.338042200312886</v>
      </c>
      <c r="O96" s="12">
        <v>2.2909767153457476</v>
      </c>
      <c r="P96" s="12">
        <v>2.3699511913747884</v>
      </c>
      <c r="Q96" s="66">
        <v>92.100259559905197</v>
      </c>
      <c r="R96" s="13">
        <v>96.629235379213142</v>
      </c>
      <c r="S96" s="13">
        <v>93.767760147536208</v>
      </c>
      <c r="T96" s="13">
        <v>91.039390022180669</v>
      </c>
      <c r="U96" s="13">
        <v>85.305321659645784</v>
      </c>
      <c r="V96" s="13">
        <v>83.557970139540799</v>
      </c>
      <c r="W96" s="14">
        <v>83.203885677831181</v>
      </c>
      <c r="X96" s="5">
        <v>3</v>
      </c>
      <c r="Y96" s="5">
        <v>3</v>
      </c>
      <c r="Z96" s="5">
        <v>2</v>
      </c>
      <c r="AA96" s="5">
        <v>3</v>
      </c>
      <c r="AB96" s="5">
        <v>2</v>
      </c>
      <c r="AC96" s="5">
        <v>3</v>
      </c>
      <c r="AD96" s="6">
        <v>2</v>
      </c>
    </row>
    <row r="97" spans="2:30" ht="15.75" thickBot="1" x14ac:dyDescent="0.3">
      <c r="B97" s="7" t="s">
        <v>54</v>
      </c>
      <c r="C97" s="67" t="s">
        <v>304</v>
      </c>
      <c r="D97" s="15" t="s">
        <v>304</v>
      </c>
      <c r="E97" s="15" t="s">
        <v>517</v>
      </c>
      <c r="F97" s="15" t="s">
        <v>517</v>
      </c>
      <c r="G97" s="15" t="s">
        <v>518</v>
      </c>
      <c r="H97" s="15" t="s">
        <v>519</v>
      </c>
      <c r="I97" s="16" t="s">
        <v>518</v>
      </c>
      <c r="J97" s="11">
        <v>0.82001492010933286</v>
      </c>
      <c r="K97" s="11">
        <v>0.83338683469032426</v>
      </c>
      <c r="L97" s="11">
        <v>0.78509285182862931</v>
      </c>
      <c r="M97" s="11">
        <v>0.81393120549596087</v>
      </c>
      <c r="N97" s="11">
        <v>0.80614025472667461</v>
      </c>
      <c r="O97" s="11">
        <v>0.81206006686825327</v>
      </c>
      <c r="P97" s="11">
        <v>0.80275035729823774</v>
      </c>
      <c r="Q97" s="67">
        <v>51.382699574438291</v>
      </c>
      <c r="R97" s="15">
        <v>51.031639730612575</v>
      </c>
      <c r="S97" s="15">
        <v>50.427658018050153</v>
      </c>
      <c r="T97" s="15">
        <v>49.545068573351145</v>
      </c>
      <c r="U97" s="15">
        <v>48.488917355937751</v>
      </c>
      <c r="V97" s="15">
        <v>48.593977225520533</v>
      </c>
      <c r="W97" s="16">
        <v>47.811832752667314</v>
      </c>
      <c r="X97" s="8">
        <v>11</v>
      </c>
      <c r="Y97" s="8">
        <v>11</v>
      </c>
      <c r="Z97" s="8">
        <v>11</v>
      </c>
      <c r="AA97" s="8">
        <v>11</v>
      </c>
      <c r="AB97" s="8">
        <v>11</v>
      </c>
      <c r="AC97" s="8">
        <v>11</v>
      </c>
      <c r="AD97" s="9">
        <v>11</v>
      </c>
    </row>
    <row r="99" spans="2:30" ht="15.75" thickBot="1" x14ac:dyDescent="0.3"/>
    <row r="100" spans="2:30" ht="15.75" thickBot="1" x14ac:dyDescent="0.3">
      <c r="B100" s="68" t="s">
        <v>58</v>
      </c>
      <c r="C100" s="139" t="s">
        <v>68</v>
      </c>
      <c r="D100" s="140"/>
      <c r="E100" s="140"/>
      <c r="F100" s="140"/>
      <c r="G100" s="140"/>
      <c r="H100" s="140"/>
      <c r="I100" s="141"/>
      <c r="J100" s="139"/>
      <c r="K100" s="140"/>
      <c r="L100" s="140"/>
      <c r="M100" s="140"/>
      <c r="N100" s="140"/>
      <c r="O100" s="140"/>
      <c r="P100" s="141"/>
      <c r="Q100" s="139" t="s">
        <v>68</v>
      </c>
      <c r="R100" s="140"/>
      <c r="S100" s="140"/>
      <c r="T100" s="140"/>
      <c r="U100" s="140"/>
      <c r="V100" s="140"/>
      <c r="W100" s="141"/>
      <c r="X100" s="139" t="s">
        <v>69</v>
      </c>
      <c r="Y100" s="140"/>
      <c r="Z100" s="140"/>
      <c r="AA100" s="140"/>
      <c r="AB100" s="140"/>
      <c r="AC100" s="140"/>
      <c r="AD100" s="141"/>
    </row>
    <row r="101" spans="2:30" x14ac:dyDescent="0.25">
      <c r="B101" s="68"/>
      <c r="C101" s="1">
        <v>2009</v>
      </c>
      <c r="D101" s="2">
        <v>2010</v>
      </c>
      <c r="E101" s="2">
        <v>2011</v>
      </c>
      <c r="F101" s="2">
        <v>2012</v>
      </c>
      <c r="G101" s="2">
        <v>2013</v>
      </c>
      <c r="H101" s="2">
        <v>2014</v>
      </c>
      <c r="I101" s="3">
        <v>2015</v>
      </c>
      <c r="J101" s="2">
        <v>2009</v>
      </c>
      <c r="K101" s="2">
        <v>2010</v>
      </c>
      <c r="L101" s="2">
        <v>2011</v>
      </c>
      <c r="M101" s="2">
        <v>2012</v>
      </c>
      <c r="N101" s="2">
        <v>2013</v>
      </c>
      <c r="O101" s="2">
        <v>2014</v>
      </c>
      <c r="P101" s="2">
        <v>2015</v>
      </c>
      <c r="Q101" s="1">
        <v>2009</v>
      </c>
      <c r="R101" s="2">
        <v>2010</v>
      </c>
      <c r="S101" s="2">
        <v>2011</v>
      </c>
      <c r="T101" s="2">
        <v>2012</v>
      </c>
      <c r="U101" s="2">
        <v>2013</v>
      </c>
      <c r="V101" s="2">
        <v>2014</v>
      </c>
      <c r="W101" s="3">
        <v>2015</v>
      </c>
      <c r="X101" s="2">
        <v>2009</v>
      </c>
      <c r="Y101" s="2">
        <v>2010</v>
      </c>
      <c r="Z101" s="2">
        <v>2011</v>
      </c>
      <c r="AA101" s="2">
        <v>2012</v>
      </c>
      <c r="AB101" s="2">
        <v>2013</v>
      </c>
      <c r="AC101" s="2">
        <v>2014</v>
      </c>
      <c r="AD101" s="3">
        <v>2015</v>
      </c>
    </row>
    <row r="102" spans="2:30" x14ac:dyDescent="0.25">
      <c r="B102" s="69" t="s">
        <v>58</v>
      </c>
      <c r="C102" s="64">
        <v>2007</v>
      </c>
      <c r="D102" s="63">
        <v>2008</v>
      </c>
      <c r="E102" s="63">
        <v>2009</v>
      </c>
      <c r="F102" s="63">
        <v>2010</v>
      </c>
      <c r="G102" s="63">
        <v>2011</v>
      </c>
      <c r="H102" s="63">
        <v>2012</v>
      </c>
      <c r="I102" s="65">
        <v>2013</v>
      </c>
      <c r="J102" s="63">
        <v>2007</v>
      </c>
      <c r="K102" s="63">
        <v>2008</v>
      </c>
      <c r="L102" s="63">
        <v>2009</v>
      </c>
      <c r="M102" s="63">
        <v>2010</v>
      </c>
      <c r="N102" s="63">
        <v>2011</v>
      </c>
      <c r="O102" s="63">
        <v>2012</v>
      </c>
      <c r="P102" s="63">
        <v>2013</v>
      </c>
      <c r="Q102" s="64">
        <v>2007</v>
      </c>
      <c r="R102" s="63">
        <v>2008</v>
      </c>
      <c r="S102" s="63">
        <v>2009</v>
      </c>
      <c r="T102" s="63">
        <v>2010</v>
      </c>
      <c r="U102" s="63">
        <v>2011</v>
      </c>
      <c r="V102" s="63">
        <v>2012</v>
      </c>
      <c r="W102" s="65">
        <v>2013</v>
      </c>
      <c r="X102" s="63">
        <v>2007</v>
      </c>
      <c r="Y102" s="63">
        <v>2008</v>
      </c>
      <c r="Z102" s="63">
        <v>2009</v>
      </c>
      <c r="AA102" s="63">
        <v>2010</v>
      </c>
      <c r="AB102" s="63">
        <v>2011</v>
      </c>
      <c r="AC102" s="63">
        <v>2012</v>
      </c>
      <c r="AD102" s="65">
        <v>2013</v>
      </c>
    </row>
    <row r="103" spans="2:30" x14ac:dyDescent="0.25">
      <c r="B103" s="4" t="s">
        <v>27</v>
      </c>
      <c r="C103" s="66" t="s">
        <v>520</v>
      </c>
      <c r="D103" s="13" t="s">
        <v>462</v>
      </c>
      <c r="E103" s="13" t="s">
        <v>143</v>
      </c>
      <c r="F103" s="13" t="s">
        <v>306</v>
      </c>
      <c r="G103" s="13" t="s">
        <v>521</v>
      </c>
      <c r="H103" s="13" t="s">
        <v>522</v>
      </c>
      <c r="I103" s="14" t="s">
        <v>362</v>
      </c>
      <c r="J103" s="73">
        <v>11.1</v>
      </c>
      <c r="K103" s="73">
        <v>11.8</v>
      </c>
      <c r="L103" s="73">
        <v>14</v>
      </c>
      <c r="M103" s="73">
        <v>15.5</v>
      </c>
      <c r="N103" s="73">
        <v>16.100000000000001</v>
      </c>
      <c r="O103" s="73">
        <v>16.3</v>
      </c>
      <c r="P103" s="73">
        <v>21.8</v>
      </c>
      <c r="Q103" s="66">
        <v>45.620550818567793</v>
      </c>
      <c r="R103" s="13">
        <v>45.907423407760938</v>
      </c>
      <c r="S103" s="13">
        <v>55.775777901005306</v>
      </c>
      <c r="T103" s="13">
        <v>58.518361671516814</v>
      </c>
      <c r="U103" s="13">
        <v>56.430020609770501</v>
      </c>
      <c r="V103" s="13">
        <v>53.404927856657231</v>
      </c>
      <c r="W103" s="14">
        <v>79.210284107642693</v>
      </c>
      <c r="X103" s="5">
        <v>18</v>
      </c>
      <c r="Y103" s="5">
        <v>14</v>
      </c>
      <c r="Z103" s="5">
        <v>12</v>
      </c>
      <c r="AA103" s="5">
        <v>11</v>
      </c>
      <c r="AB103" s="5">
        <v>14</v>
      </c>
      <c r="AC103" s="5">
        <v>14</v>
      </c>
      <c r="AD103" s="6">
        <v>3</v>
      </c>
    </row>
    <row r="104" spans="2:30" x14ac:dyDescent="0.25">
      <c r="B104" s="4" t="s">
        <v>28</v>
      </c>
      <c r="C104" s="66" t="s">
        <v>213</v>
      </c>
      <c r="D104" s="13" t="s">
        <v>190</v>
      </c>
      <c r="E104" s="13" t="s">
        <v>523</v>
      </c>
      <c r="F104" s="13" t="s">
        <v>219</v>
      </c>
      <c r="G104" s="13" t="s">
        <v>399</v>
      </c>
      <c r="H104" s="13" t="s">
        <v>223</v>
      </c>
      <c r="I104" s="14" t="s">
        <v>396</v>
      </c>
      <c r="J104" s="73">
        <v>14</v>
      </c>
      <c r="K104" s="73">
        <v>11.6</v>
      </c>
      <c r="L104" s="73">
        <v>12</v>
      </c>
      <c r="M104" s="73">
        <v>12.2</v>
      </c>
      <c r="N104" s="73">
        <v>12.6</v>
      </c>
      <c r="O104" s="73">
        <v>13</v>
      </c>
      <c r="P104" s="73">
        <v>13</v>
      </c>
      <c r="Q104" s="66">
        <v>61.707122858824263</v>
      </c>
      <c r="R104" s="13">
        <v>44.890639162264691</v>
      </c>
      <c r="S104" s="13">
        <v>44.341453241569454</v>
      </c>
      <c r="T104" s="13">
        <v>41.028376155582833</v>
      </c>
      <c r="U104" s="13">
        <v>38.076369548872165</v>
      </c>
      <c r="V104" s="13">
        <v>35.28888175559424</v>
      </c>
      <c r="W104" s="14">
        <v>31.923913073802527</v>
      </c>
      <c r="X104" s="5">
        <v>8</v>
      </c>
      <c r="Y104" s="5">
        <v>15</v>
      </c>
      <c r="Z104" s="5">
        <v>17</v>
      </c>
      <c r="AA104" s="5">
        <v>19</v>
      </c>
      <c r="AB104" s="5">
        <v>21</v>
      </c>
      <c r="AC104" s="5">
        <v>21</v>
      </c>
      <c r="AD104" s="6">
        <v>24</v>
      </c>
    </row>
    <row r="105" spans="2:30" x14ac:dyDescent="0.25">
      <c r="B105" s="4" t="s">
        <v>29</v>
      </c>
      <c r="C105" s="66" t="s">
        <v>230</v>
      </c>
      <c r="D105" s="13" t="s">
        <v>226</v>
      </c>
      <c r="E105" s="13" t="s">
        <v>511</v>
      </c>
      <c r="F105" s="13" t="s">
        <v>402</v>
      </c>
      <c r="G105" s="13" t="s">
        <v>524</v>
      </c>
      <c r="H105" s="13" t="s">
        <v>525</v>
      </c>
      <c r="I105" s="14" t="s">
        <v>399</v>
      </c>
      <c r="J105" s="73">
        <v>8.4</v>
      </c>
      <c r="K105" s="73">
        <v>9.1</v>
      </c>
      <c r="L105" s="73">
        <v>10.1</v>
      </c>
      <c r="M105" s="73">
        <v>11.4</v>
      </c>
      <c r="N105" s="73">
        <v>12.4</v>
      </c>
      <c r="O105" s="73">
        <v>13.3</v>
      </c>
      <c r="P105" s="73">
        <v>14.1</v>
      </c>
      <c r="Q105" s="66">
        <v>30.643397539708324</v>
      </c>
      <c r="R105" s="13">
        <v>32.180836093561624</v>
      </c>
      <c r="S105" s="13">
        <v>33.47884481510539</v>
      </c>
      <c r="T105" s="13">
        <v>36.788379666871577</v>
      </c>
      <c r="U105" s="13">
        <v>37.027589488249404</v>
      </c>
      <c r="V105" s="13">
        <v>36.93579503750906</v>
      </c>
      <c r="W105" s="14">
        <v>37.834709453032545</v>
      </c>
      <c r="X105" s="5">
        <v>23</v>
      </c>
      <c r="Y105" s="5">
        <v>22</v>
      </c>
      <c r="Z105" s="5">
        <v>22</v>
      </c>
      <c r="AA105" s="5">
        <v>21</v>
      </c>
      <c r="AB105" s="5">
        <v>22</v>
      </c>
      <c r="AC105" s="5">
        <v>19</v>
      </c>
      <c r="AD105" s="6">
        <v>21</v>
      </c>
    </row>
    <row r="106" spans="2:30" x14ac:dyDescent="0.25">
      <c r="B106" s="4" t="s">
        <v>30</v>
      </c>
      <c r="C106" s="66" t="s">
        <v>207</v>
      </c>
      <c r="D106" s="13" t="s">
        <v>402</v>
      </c>
      <c r="E106" s="13" t="s">
        <v>526</v>
      </c>
      <c r="F106" s="13" t="s">
        <v>405</v>
      </c>
      <c r="G106" s="13" t="s">
        <v>527</v>
      </c>
      <c r="H106" s="13" t="s">
        <v>528</v>
      </c>
      <c r="I106" s="14" t="s">
        <v>185</v>
      </c>
      <c r="J106" s="73">
        <v>6.8</v>
      </c>
      <c r="K106" s="73">
        <v>10.1</v>
      </c>
      <c r="L106" s="73">
        <v>12.8</v>
      </c>
      <c r="M106" s="73">
        <v>11.6</v>
      </c>
      <c r="N106" s="73">
        <v>14.100000000000001</v>
      </c>
      <c r="O106" s="73">
        <v>16.600000000000001</v>
      </c>
      <c r="P106" s="73">
        <v>15.5</v>
      </c>
      <c r="Q106" s="66">
        <v>21.768047448532339</v>
      </c>
      <c r="R106" s="13">
        <v>37.26475732104285</v>
      </c>
      <c r="S106" s="13">
        <v>48.9151831053438</v>
      </c>
      <c r="T106" s="13">
        <v>37.848378789049391</v>
      </c>
      <c r="U106" s="13">
        <v>45.942220003542886</v>
      </c>
      <c r="V106" s="13">
        <v>55.051841138572051</v>
      </c>
      <c r="W106" s="14">
        <v>45.357541208416208</v>
      </c>
      <c r="X106" s="5">
        <v>25</v>
      </c>
      <c r="Y106" s="5">
        <v>21</v>
      </c>
      <c r="Z106" s="5">
        <v>15</v>
      </c>
      <c r="AA106" s="5">
        <v>20</v>
      </c>
      <c r="AB106" s="5">
        <v>17</v>
      </c>
      <c r="AC106" s="5">
        <v>13</v>
      </c>
      <c r="AD106" s="6">
        <v>16</v>
      </c>
    </row>
    <row r="107" spans="2:30" x14ac:dyDescent="0.25">
      <c r="B107" s="4" t="s">
        <v>31</v>
      </c>
      <c r="C107" s="66" t="s">
        <v>529</v>
      </c>
      <c r="D107" s="13" t="s">
        <v>530</v>
      </c>
      <c r="E107" s="13" t="s">
        <v>531</v>
      </c>
      <c r="F107" s="13" t="s">
        <v>531</v>
      </c>
      <c r="G107" s="13" t="s">
        <v>532</v>
      </c>
      <c r="H107" s="13" t="s">
        <v>233</v>
      </c>
      <c r="I107" s="14" t="s">
        <v>530</v>
      </c>
      <c r="J107" s="73">
        <v>4.2</v>
      </c>
      <c r="K107" s="73">
        <v>4</v>
      </c>
      <c r="L107" s="73">
        <v>4.5999999999999996</v>
      </c>
      <c r="M107" s="73">
        <v>4.9000000000000004</v>
      </c>
      <c r="N107" s="73">
        <v>7.2</v>
      </c>
      <c r="O107" s="73">
        <v>9</v>
      </c>
      <c r="P107" s="73">
        <v>8.1999999999999993</v>
      </c>
      <c r="Q107" s="66">
        <v>7.345603550371365</v>
      </c>
      <c r="R107" s="13">
        <v>6.2528378334073551</v>
      </c>
      <c r="S107" s="13">
        <v>2.0344520016567813</v>
      </c>
      <c r="T107" s="13">
        <v>2.3384081960925371</v>
      </c>
      <c r="U107" s="13">
        <v>9.7593079120575936</v>
      </c>
      <c r="V107" s="13">
        <v>13.330037996730013</v>
      </c>
      <c r="W107" s="14">
        <v>6.13134705534425</v>
      </c>
      <c r="X107" s="5">
        <v>27</v>
      </c>
      <c r="Y107" s="5">
        <v>27</v>
      </c>
      <c r="Z107" s="5">
        <v>27</v>
      </c>
      <c r="AA107" s="5">
        <v>27</v>
      </c>
      <c r="AB107" s="5">
        <v>26</v>
      </c>
      <c r="AC107" s="5">
        <v>27</v>
      </c>
      <c r="AD107" s="6">
        <v>27</v>
      </c>
    </row>
    <row r="108" spans="2:30" x14ac:dyDescent="0.25">
      <c r="B108" s="4" t="s">
        <v>32</v>
      </c>
      <c r="C108" s="66" t="s">
        <v>212</v>
      </c>
      <c r="D108" s="13" t="s">
        <v>271</v>
      </c>
      <c r="E108" s="13" t="s">
        <v>216</v>
      </c>
      <c r="F108" s="13" t="s">
        <v>117</v>
      </c>
      <c r="G108" s="13" t="s">
        <v>533</v>
      </c>
      <c r="H108" s="13" t="s">
        <v>143</v>
      </c>
      <c r="I108" s="14" t="s">
        <v>522</v>
      </c>
      <c r="J108" s="73">
        <v>12</v>
      </c>
      <c r="K108" s="73">
        <v>15</v>
      </c>
      <c r="L108" s="73">
        <v>15.3</v>
      </c>
      <c r="M108" s="73">
        <v>16.5</v>
      </c>
      <c r="N108" s="73">
        <v>16.600000000000001</v>
      </c>
      <c r="O108" s="73">
        <v>16.7</v>
      </c>
      <c r="P108" s="73">
        <v>16.899999999999999</v>
      </c>
      <c r="Q108" s="66">
        <v>50.612935244854285</v>
      </c>
      <c r="R108" s="13">
        <v>62.175971335700865</v>
      </c>
      <c r="S108" s="13">
        <v>63.20808892963862</v>
      </c>
      <c r="T108" s="13">
        <v>63.818357282405891</v>
      </c>
      <c r="U108" s="13">
        <v>59.051970761327411</v>
      </c>
      <c r="V108" s="13">
        <v>55.600812232543646</v>
      </c>
      <c r="W108" s="14">
        <v>52.880372963799864</v>
      </c>
      <c r="X108" s="5">
        <v>12</v>
      </c>
      <c r="Y108" s="5">
        <v>9</v>
      </c>
      <c r="Z108" s="5">
        <v>8</v>
      </c>
      <c r="AA108" s="5">
        <v>7</v>
      </c>
      <c r="AB108" s="5">
        <v>12</v>
      </c>
      <c r="AC108" s="5">
        <v>12</v>
      </c>
      <c r="AD108" s="6">
        <v>14</v>
      </c>
    </row>
    <row r="109" spans="2:30" x14ac:dyDescent="0.25">
      <c r="B109" s="4" t="s">
        <v>33</v>
      </c>
      <c r="C109" s="66" t="s">
        <v>229</v>
      </c>
      <c r="D109" s="13" t="s">
        <v>178</v>
      </c>
      <c r="E109" s="13" t="s">
        <v>534</v>
      </c>
      <c r="F109" s="13" t="s">
        <v>117</v>
      </c>
      <c r="G109" s="13" t="s">
        <v>144</v>
      </c>
      <c r="H109" s="13" t="s">
        <v>145</v>
      </c>
      <c r="I109" s="14" t="s">
        <v>535</v>
      </c>
      <c r="J109" s="73">
        <v>16.399999999999999</v>
      </c>
      <c r="K109" s="73">
        <v>15.5</v>
      </c>
      <c r="L109" s="73">
        <v>15.2</v>
      </c>
      <c r="M109" s="73">
        <v>16.5</v>
      </c>
      <c r="N109" s="73">
        <v>17.899999999999999</v>
      </c>
      <c r="O109" s="73">
        <v>18.8</v>
      </c>
      <c r="P109" s="73">
        <v>19.899999999999999</v>
      </c>
      <c r="Q109" s="66">
        <v>75.020147995588232</v>
      </c>
      <c r="R109" s="13">
        <v>64.717931949441478</v>
      </c>
      <c r="S109" s="13">
        <v>62.636372696666818</v>
      </c>
      <c r="T109" s="13">
        <v>63.818357282405891</v>
      </c>
      <c r="U109" s="13">
        <v>65.869041155375342</v>
      </c>
      <c r="V109" s="13">
        <v>67.129205205947372</v>
      </c>
      <c r="W109" s="14">
        <v>69.000726725336278</v>
      </c>
      <c r="X109" s="5">
        <v>6</v>
      </c>
      <c r="Y109" s="5">
        <v>7</v>
      </c>
      <c r="Z109" s="5">
        <v>9</v>
      </c>
      <c r="AA109" s="5">
        <v>7</v>
      </c>
      <c r="AB109" s="5">
        <v>7</v>
      </c>
      <c r="AC109" s="5">
        <v>8</v>
      </c>
      <c r="AD109" s="6">
        <v>8</v>
      </c>
    </row>
    <row r="110" spans="2:30" x14ac:dyDescent="0.25">
      <c r="B110" s="4" t="s">
        <v>34</v>
      </c>
      <c r="C110" s="66" t="s">
        <v>380</v>
      </c>
      <c r="D110" s="13" t="s">
        <v>523</v>
      </c>
      <c r="E110" s="13" t="s">
        <v>402</v>
      </c>
      <c r="F110" s="13" t="s">
        <v>224</v>
      </c>
      <c r="G110" s="13" t="s">
        <v>536</v>
      </c>
      <c r="H110" s="13" t="s">
        <v>234</v>
      </c>
      <c r="I110" s="14" t="s">
        <v>405</v>
      </c>
      <c r="J110" s="73">
        <v>13.3</v>
      </c>
      <c r="K110" s="73">
        <v>11.4</v>
      </c>
      <c r="L110" s="73">
        <v>10.8</v>
      </c>
      <c r="M110" s="73">
        <v>11.3</v>
      </c>
      <c r="N110" s="73">
        <v>11.9</v>
      </c>
      <c r="O110" s="73">
        <v>13.2</v>
      </c>
      <c r="P110" s="73">
        <v>14.2</v>
      </c>
      <c r="Q110" s="66">
        <v>57.824157193934774</v>
      </c>
      <c r="R110" s="13">
        <v>43.873854916768444</v>
      </c>
      <c r="S110" s="13">
        <v>37.480858445907941</v>
      </c>
      <c r="T110" s="13">
        <v>36.25838010578267</v>
      </c>
      <c r="U110" s="13">
        <v>34.405639336692502</v>
      </c>
      <c r="V110" s="13">
        <v>36.386823943537451</v>
      </c>
      <c r="W110" s="14">
        <v>38.372054578417092</v>
      </c>
      <c r="X110" s="5">
        <v>11</v>
      </c>
      <c r="Y110" s="5">
        <v>17</v>
      </c>
      <c r="Z110" s="5">
        <v>21</v>
      </c>
      <c r="AA110" s="5">
        <v>22</v>
      </c>
      <c r="AB110" s="5">
        <v>23</v>
      </c>
      <c r="AC110" s="5">
        <v>20</v>
      </c>
      <c r="AD110" s="6">
        <v>20</v>
      </c>
    </row>
    <row r="111" spans="2:30" x14ac:dyDescent="0.25">
      <c r="B111" s="4" t="s">
        <v>35</v>
      </c>
      <c r="C111" s="66" t="s">
        <v>146</v>
      </c>
      <c r="D111" s="13" t="s">
        <v>147</v>
      </c>
      <c r="E111" s="13" t="s">
        <v>276</v>
      </c>
      <c r="F111" s="13" t="s">
        <v>147</v>
      </c>
      <c r="G111" s="13" t="s">
        <v>361</v>
      </c>
      <c r="H111" s="13" t="s">
        <v>447</v>
      </c>
      <c r="I111" s="14" t="s">
        <v>315</v>
      </c>
      <c r="J111" s="73">
        <v>18.8</v>
      </c>
      <c r="K111" s="73">
        <v>24.3</v>
      </c>
      <c r="L111" s="73">
        <v>19</v>
      </c>
      <c r="M111" s="73">
        <v>24.2</v>
      </c>
      <c r="N111" s="73">
        <v>21.2</v>
      </c>
      <c r="O111" s="73">
        <v>21.7</v>
      </c>
      <c r="P111" s="73">
        <v>21.6</v>
      </c>
      <c r="Q111" s="66">
        <v>88.333173132352215</v>
      </c>
      <c r="R111" s="13">
        <v>100</v>
      </c>
      <c r="S111" s="13">
        <v>84.361589549594953</v>
      </c>
      <c r="T111" s="13">
        <v>100</v>
      </c>
      <c r="U111" s="13">
        <v>83.173912155650925</v>
      </c>
      <c r="V111" s="13">
        <v>83.049366931123927</v>
      </c>
      <c r="W111" s="14">
        <v>78.135593856873598</v>
      </c>
      <c r="X111" s="5">
        <v>2</v>
      </c>
      <c r="Y111" s="5">
        <v>1</v>
      </c>
      <c r="Z111" s="5">
        <v>3</v>
      </c>
      <c r="AA111" s="5">
        <v>1</v>
      </c>
      <c r="AB111" s="5">
        <v>3</v>
      </c>
      <c r="AC111" s="5">
        <v>4</v>
      </c>
      <c r="AD111" s="6">
        <v>4</v>
      </c>
    </row>
    <row r="112" spans="2:30" x14ac:dyDescent="0.25">
      <c r="B112" s="4" t="s">
        <v>36</v>
      </c>
      <c r="C112" s="66" t="s">
        <v>312</v>
      </c>
      <c r="D112" s="13" t="s">
        <v>537</v>
      </c>
      <c r="E112" s="13" t="s">
        <v>538</v>
      </c>
      <c r="F112" s="13" t="s">
        <v>148</v>
      </c>
      <c r="G112" s="13" t="s">
        <v>539</v>
      </c>
      <c r="H112" s="13" t="s">
        <v>540</v>
      </c>
      <c r="I112" s="14" t="s">
        <v>516</v>
      </c>
      <c r="J112" s="73">
        <v>20.8</v>
      </c>
      <c r="K112" s="73">
        <v>20.3</v>
      </c>
      <c r="L112" s="73">
        <v>20.399999999999999</v>
      </c>
      <c r="M112" s="73">
        <v>21.7</v>
      </c>
      <c r="N112" s="73">
        <v>21.966666666666665</v>
      </c>
      <c r="O112" s="73">
        <v>22.233333333333331</v>
      </c>
      <c r="P112" s="73">
        <v>22.5</v>
      </c>
      <c r="Q112" s="66">
        <v>99.427360746322194</v>
      </c>
      <c r="R112" s="13">
        <v>89.120753841351387</v>
      </c>
      <c r="S112" s="13">
        <v>92.365616811200027</v>
      </c>
      <c r="T112" s="13">
        <v>91.378334459029105</v>
      </c>
      <c r="U112" s="13">
        <v>87.194235721371498</v>
      </c>
      <c r="V112" s="13">
        <v>85.977212765639152</v>
      </c>
      <c r="W112" s="14">
        <v>82.971699985334524</v>
      </c>
      <c r="X112" s="5">
        <v>1</v>
      </c>
      <c r="Y112" s="5">
        <v>2</v>
      </c>
      <c r="Z112" s="5">
        <v>1</v>
      </c>
      <c r="AA112" s="5">
        <v>2</v>
      </c>
      <c r="AB112" s="5">
        <v>2</v>
      </c>
      <c r="AC112" s="5">
        <v>3</v>
      </c>
      <c r="AD112" s="6">
        <v>2</v>
      </c>
    </row>
    <row r="113" spans="2:30" x14ac:dyDescent="0.25">
      <c r="B113" s="4" t="s">
        <v>37</v>
      </c>
      <c r="C113" s="66" t="s">
        <v>235</v>
      </c>
      <c r="D113" s="13" t="s">
        <v>322</v>
      </c>
      <c r="E113" s="13" t="s">
        <v>385</v>
      </c>
      <c r="F113" s="13" t="s">
        <v>236</v>
      </c>
      <c r="G113" s="13" t="s">
        <v>541</v>
      </c>
      <c r="H113" s="13" t="s">
        <v>149</v>
      </c>
      <c r="I113" s="14" t="s">
        <v>237</v>
      </c>
      <c r="J113" s="73">
        <v>11.4</v>
      </c>
      <c r="K113" s="73">
        <v>12.5</v>
      </c>
      <c r="L113" s="73">
        <v>13.5</v>
      </c>
      <c r="M113" s="73">
        <v>14.8</v>
      </c>
      <c r="N113" s="73">
        <v>16.5</v>
      </c>
      <c r="O113" s="73">
        <v>17.5</v>
      </c>
      <c r="P113" s="73">
        <v>17.2</v>
      </c>
      <c r="Q113" s="66">
        <v>47.284678960663292</v>
      </c>
      <c r="R113" s="13">
        <v>49.466168266997798</v>
      </c>
      <c r="S113" s="13">
        <v>52.917196736146344</v>
      </c>
      <c r="T113" s="13">
        <v>54.808364743894458</v>
      </c>
      <c r="U113" s="13">
        <v>58.527580731016016</v>
      </c>
      <c r="V113" s="13">
        <v>59.992580984316497</v>
      </c>
      <c r="W113" s="14">
        <v>54.492408339953514</v>
      </c>
      <c r="X113" s="5">
        <v>15</v>
      </c>
      <c r="Y113" s="5">
        <v>13</v>
      </c>
      <c r="Z113" s="5">
        <v>13</v>
      </c>
      <c r="AA113" s="5">
        <v>12</v>
      </c>
      <c r="AB113" s="5">
        <v>13</v>
      </c>
      <c r="AC113" s="5">
        <v>11</v>
      </c>
      <c r="AD113" s="6">
        <v>13</v>
      </c>
    </row>
    <row r="114" spans="2:30" x14ac:dyDescent="0.25">
      <c r="B114" s="4" t="s">
        <v>38</v>
      </c>
      <c r="C114" s="66" t="s">
        <v>483</v>
      </c>
      <c r="D114" s="13" t="s">
        <v>542</v>
      </c>
      <c r="E114" s="13" t="s">
        <v>523</v>
      </c>
      <c r="F114" s="13" t="s">
        <v>523</v>
      </c>
      <c r="G114" s="13" t="s">
        <v>238</v>
      </c>
      <c r="H114" s="13" t="s">
        <v>239</v>
      </c>
      <c r="I114" s="14" t="s">
        <v>543</v>
      </c>
      <c r="J114" s="73">
        <v>8.5</v>
      </c>
      <c r="K114" s="73">
        <v>11.2</v>
      </c>
      <c r="L114" s="73">
        <v>12</v>
      </c>
      <c r="M114" s="73">
        <v>12.8</v>
      </c>
      <c r="N114" s="73">
        <v>13.4</v>
      </c>
      <c r="O114" s="73">
        <v>14.4</v>
      </c>
      <c r="P114" s="73">
        <v>15.4</v>
      </c>
      <c r="Q114" s="66">
        <v>31.198106920406822</v>
      </c>
      <c r="R114" s="13">
        <v>42.857070671272197</v>
      </c>
      <c r="S114" s="13">
        <v>44.341453241569454</v>
      </c>
      <c r="T114" s="13">
        <v>44.20837352211629</v>
      </c>
      <c r="U114" s="13">
        <v>42.271489791363216</v>
      </c>
      <c r="V114" s="13">
        <v>42.974477071196723</v>
      </c>
      <c r="W114" s="14">
        <v>44.820196083031661</v>
      </c>
      <c r="X114" s="5">
        <v>22</v>
      </c>
      <c r="Y114" s="5">
        <v>19</v>
      </c>
      <c r="Z114" s="5">
        <v>17</v>
      </c>
      <c r="AA114" s="5">
        <v>17</v>
      </c>
      <c r="AB114" s="5">
        <v>18</v>
      </c>
      <c r="AC114" s="5">
        <v>18</v>
      </c>
      <c r="AD114" s="6">
        <v>17</v>
      </c>
    </row>
    <row r="115" spans="2:30" x14ac:dyDescent="0.25">
      <c r="B115" s="4" t="s">
        <v>39</v>
      </c>
      <c r="C115" s="66" t="s">
        <v>240</v>
      </c>
      <c r="D115" s="13" t="s">
        <v>544</v>
      </c>
      <c r="E115" s="13" t="s">
        <v>545</v>
      </c>
      <c r="F115" s="13" t="s">
        <v>546</v>
      </c>
      <c r="G115" s="13" t="s">
        <v>544</v>
      </c>
      <c r="H115" s="13" t="s">
        <v>547</v>
      </c>
      <c r="I115" s="14" t="s">
        <v>544</v>
      </c>
      <c r="J115" s="73">
        <v>6.4</v>
      </c>
      <c r="K115" s="73">
        <v>6.1</v>
      </c>
      <c r="L115" s="73">
        <v>7.5</v>
      </c>
      <c r="M115" s="73">
        <v>8.3000000000000007</v>
      </c>
      <c r="N115" s="73">
        <v>8.5</v>
      </c>
      <c r="O115" s="73">
        <v>9.4</v>
      </c>
      <c r="P115" s="73">
        <v>10.3</v>
      </c>
      <c r="Q115" s="66">
        <v>19.549209925738349</v>
      </c>
      <c r="R115" s="13">
        <v>16.929072411117936</v>
      </c>
      <c r="S115" s="13">
        <v>18.614222757838778</v>
      </c>
      <c r="T115" s="13">
        <v>20.358393273115421</v>
      </c>
      <c r="U115" s="13">
        <v>16.576378306105546</v>
      </c>
      <c r="V115" s="13">
        <v>15.525922372616442</v>
      </c>
      <c r="W115" s="14">
        <v>17.415594688419752</v>
      </c>
      <c r="X115" s="5">
        <v>26</v>
      </c>
      <c r="Y115" s="5">
        <v>25</v>
      </c>
      <c r="Z115" s="5">
        <v>25</v>
      </c>
      <c r="AA115" s="5">
        <v>25</v>
      </c>
      <c r="AB115" s="5">
        <v>25</v>
      </c>
      <c r="AC115" s="5">
        <v>26</v>
      </c>
      <c r="AD115" s="6">
        <v>25</v>
      </c>
    </row>
    <row r="116" spans="2:30" x14ac:dyDescent="0.25">
      <c r="B116" s="4" t="s">
        <v>40</v>
      </c>
      <c r="C116" s="66" t="s">
        <v>186</v>
      </c>
      <c r="D116" s="13" t="s">
        <v>440</v>
      </c>
      <c r="E116" s="13" t="s">
        <v>241</v>
      </c>
      <c r="F116" s="13" t="s">
        <v>361</v>
      </c>
      <c r="G116" s="13" t="s">
        <v>447</v>
      </c>
      <c r="H116" s="13" t="s">
        <v>537</v>
      </c>
      <c r="I116" s="14" t="s">
        <v>315</v>
      </c>
      <c r="J116" s="73">
        <v>18.7</v>
      </c>
      <c r="K116" s="73">
        <v>19.5</v>
      </c>
      <c r="L116" s="73">
        <v>17.2</v>
      </c>
      <c r="M116" s="73">
        <v>20.100000000000001</v>
      </c>
      <c r="N116" s="73">
        <v>21.1</v>
      </c>
      <c r="O116" s="73">
        <v>22.7</v>
      </c>
      <c r="P116" s="73">
        <v>21.6</v>
      </c>
      <c r="Q116" s="66">
        <v>87.778463751653703</v>
      </c>
      <c r="R116" s="13">
        <v>85.0536168593664</v>
      </c>
      <c r="S116" s="13">
        <v>74.07069735610267</v>
      </c>
      <c r="T116" s="13">
        <v>82.898341481606593</v>
      </c>
      <c r="U116" s="13">
        <v>82.649522125339544</v>
      </c>
      <c r="V116" s="13">
        <v>88.539077870839975</v>
      </c>
      <c r="W116" s="14">
        <v>78.135593856873598</v>
      </c>
      <c r="X116" s="5">
        <v>3</v>
      </c>
      <c r="Y116" s="5">
        <v>3</v>
      </c>
      <c r="Z116" s="5">
        <v>7</v>
      </c>
      <c r="AA116" s="5">
        <v>3</v>
      </c>
      <c r="AB116" s="5">
        <v>4</v>
      </c>
      <c r="AC116" s="5">
        <v>2</v>
      </c>
      <c r="AD116" s="6">
        <v>4</v>
      </c>
    </row>
    <row r="117" spans="2:30" x14ac:dyDescent="0.25">
      <c r="B117" s="4" t="s">
        <v>41</v>
      </c>
      <c r="C117" s="66" t="s">
        <v>235</v>
      </c>
      <c r="D117" s="13" t="s">
        <v>239</v>
      </c>
      <c r="E117" s="13" t="s">
        <v>542</v>
      </c>
      <c r="F117" s="13" t="s">
        <v>238</v>
      </c>
      <c r="G117" s="13" t="s">
        <v>221</v>
      </c>
      <c r="H117" s="13" t="s">
        <v>536</v>
      </c>
      <c r="I117" s="14" t="s">
        <v>397</v>
      </c>
      <c r="J117" s="73">
        <v>11.4</v>
      </c>
      <c r="K117" s="73">
        <v>11.3</v>
      </c>
      <c r="L117" s="73">
        <v>11.8</v>
      </c>
      <c r="M117" s="73">
        <v>12.3</v>
      </c>
      <c r="N117" s="73">
        <v>12.8</v>
      </c>
      <c r="O117" s="73">
        <v>12.8</v>
      </c>
      <c r="P117" s="73">
        <v>13.5</v>
      </c>
      <c r="Q117" s="66">
        <v>47.284678960663292</v>
      </c>
      <c r="R117" s="13">
        <v>43.365462794020324</v>
      </c>
      <c r="S117" s="13">
        <v>43.198020775625871</v>
      </c>
      <c r="T117" s="13">
        <v>41.558375716671748</v>
      </c>
      <c r="U117" s="13">
        <v>39.125149609494933</v>
      </c>
      <c r="V117" s="13">
        <v>34.190939567651029</v>
      </c>
      <c r="W117" s="14">
        <v>34.610638700725261</v>
      </c>
      <c r="X117" s="5">
        <v>15</v>
      </c>
      <c r="Y117" s="5">
        <v>18</v>
      </c>
      <c r="Z117" s="5">
        <v>19</v>
      </c>
      <c r="AA117" s="5">
        <v>18</v>
      </c>
      <c r="AB117" s="5">
        <v>19</v>
      </c>
      <c r="AC117" s="5">
        <v>23</v>
      </c>
      <c r="AD117" s="6">
        <v>22</v>
      </c>
    </row>
    <row r="118" spans="2:30" x14ac:dyDescent="0.25">
      <c r="B118" s="4" t="s">
        <v>42</v>
      </c>
      <c r="C118" s="66" t="s">
        <v>548</v>
      </c>
      <c r="D118" s="13" t="s">
        <v>230</v>
      </c>
      <c r="E118" s="13" t="s">
        <v>227</v>
      </c>
      <c r="F118" s="13" t="s">
        <v>549</v>
      </c>
      <c r="G118" s="13" t="s">
        <v>221</v>
      </c>
      <c r="H118" s="13" t="s">
        <v>223</v>
      </c>
      <c r="I118" s="14" t="s">
        <v>549</v>
      </c>
      <c r="J118" s="73">
        <v>9.1999999999999993</v>
      </c>
      <c r="K118" s="73">
        <v>8.8000000000000007</v>
      </c>
      <c r="L118" s="73">
        <v>9.8000000000000007</v>
      </c>
      <c r="M118" s="73">
        <v>10.7</v>
      </c>
      <c r="N118" s="73">
        <v>12.8</v>
      </c>
      <c r="O118" s="73">
        <v>13</v>
      </c>
      <c r="P118" s="73">
        <v>13.2</v>
      </c>
      <c r="Q118" s="66">
        <v>35.081072585296312</v>
      </c>
      <c r="R118" s="13">
        <v>30.655659725317257</v>
      </c>
      <c r="S118" s="13">
        <v>31.763696116190015</v>
      </c>
      <c r="T118" s="13">
        <v>33.078382739249214</v>
      </c>
      <c r="U118" s="13">
        <v>39.125149609494933</v>
      </c>
      <c r="V118" s="13">
        <v>35.28888175559424</v>
      </c>
      <c r="W118" s="14">
        <v>32.998603324571619</v>
      </c>
      <c r="X118" s="5">
        <v>20</v>
      </c>
      <c r="Y118" s="5">
        <v>23</v>
      </c>
      <c r="Z118" s="5">
        <v>23</v>
      </c>
      <c r="AA118" s="5">
        <v>23</v>
      </c>
      <c r="AB118" s="5">
        <v>19</v>
      </c>
      <c r="AC118" s="5">
        <v>21</v>
      </c>
      <c r="AD118" s="6">
        <v>23</v>
      </c>
    </row>
    <row r="119" spans="2:30" x14ac:dyDescent="0.25">
      <c r="B119" s="4" t="s">
        <v>43</v>
      </c>
      <c r="C119" s="66" t="s">
        <v>177</v>
      </c>
      <c r="D119" s="13" t="s">
        <v>150</v>
      </c>
      <c r="E119" s="13" t="s">
        <v>550</v>
      </c>
      <c r="F119" s="13" t="s">
        <v>357</v>
      </c>
      <c r="G119" s="13" t="s">
        <v>551</v>
      </c>
      <c r="H119" s="13" t="s">
        <v>552</v>
      </c>
      <c r="I119" s="14" t="s">
        <v>460</v>
      </c>
      <c r="J119" s="73">
        <v>18.100000000000001</v>
      </c>
      <c r="K119" s="73">
        <v>17.8</v>
      </c>
      <c r="L119" s="73">
        <v>18.5</v>
      </c>
      <c r="M119" s="73">
        <v>18.7</v>
      </c>
      <c r="N119" s="73">
        <v>22.6</v>
      </c>
      <c r="O119" s="73">
        <v>23</v>
      </c>
      <c r="P119" s="73">
        <v>21.3</v>
      </c>
      <c r="Q119" s="66">
        <v>84.450207467462732</v>
      </c>
      <c r="R119" s="13">
        <v>76.410950772648306</v>
      </c>
      <c r="S119" s="13">
        <v>81.503008384735978</v>
      </c>
      <c r="T119" s="13">
        <v>75.478347626361867</v>
      </c>
      <c r="U119" s="13">
        <v>90.515372580010265</v>
      </c>
      <c r="V119" s="13">
        <v>90.185991152754809</v>
      </c>
      <c r="W119" s="14">
        <v>76.523558480719956</v>
      </c>
      <c r="X119" s="5">
        <v>5</v>
      </c>
      <c r="Y119" s="5">
        <v>5</v>
      </c>
      <c r="Z119" s="5">
        <v>4</v>
      </c>
      <c r="AA119" s="5">
        <v>4</v>
      </c>
      <c r="AB119" s="5">
        <v>1</v>
      </c>
      <c r="AC119" s="5">
        <v>1</v>
      </c>
      <c r="AD119" s="6">
        <v>6</v>
      </c>
    </row>
    <row r="120" spans="2:30" x14ac:dyDescent="0.25">
      <c r="B120" s="4" t="s">
        <v>44</v>
      </c>
      <c r="C120" s="66" t="s">
        <v>242</v>
      </c>
      <c r="D120" s="13" t="s">
        <v>242</v>
      </c>
      <c r="E120" s="13" t="s">
        <v>242</v>
      </c>
      <c r="F120" s="13" t="s">
        <v>242</v>
      </c>
      <c r="G120" s="13" t="s">
        <v>242</v>
      </c>
      <c r="H120" s="13" t="s">
        <v>242</v>
      </c>
      <c r="I120" s="14" t="s">
        <v>242</v>
      </c>
      <c r="J120" s="73">
        <v>2.406093992081253</v>
      </c>
      <c r="K120" s="73">
        <v>2.5401101738681358</v>
      </c>
      <c r="L120" s="73">
        <v>2.6129282148390427</v>
      </c>
      <c r="M120" s="73">
        <v>2.7972972972972969</v>
      </c>
      <c r="N120" s="73">
        <v>3</v>
      </c>
      <c r="O120" s="73">
        <v>2.8</v>
      </c>
      <c r="P120" s="73">
        <v>3.6</v>
      </c>
      <c r="Q120" s="66">
        <v>0</v>
      </c>
      <c r="R120" s="13">
        <v>0</v>
      </c>
      <c r="S120" s="13">
        <v>0</v>
      </c>
      <c r="T120" s="13">
        <v>0</v>
      </c>
      <c r="U120" s="13">
        <v>0</v>
      </c>
      <c r="V120" s="13">
        <v>0</v>
      </c>
      <c r="W120" s="14">
        <v>0</v>
      </c>
      <c r="X120" s="5">
        <v>28</v>
      </c>
      <c r="Y120" s="5">
        <v>28</v>
      </c>
      <c r="Z120" s="5">
        <v>28</v>
      </c>
      <c r="AA120" s="5">
        <v>28</v>
      </c>
      <c r="AB120" s="5">
        <v>28</v>
      </c>
      <c r="AC120" s="5">
        <v>28</v>
      </c>
      <c r="AD120" s="6">
        <v>28</v>
      </c>
    </row>
    <row r="121" spans="2:30" x14ac:dyDescent="0.25">
      <c r="B121" s="4" t="s">
        <v>18</v>
      </c>
      <c r="C121" s="66" t="s">
        <v>348</v>
      </c>
      <c r="D121" s="13" t="s">
        <v>547</v>
      </c>
      <c r="E121" s="13" t="s">
        <v>547</v>
      </c>
      <c r="F121" s="13" t="s">
        <v>151</v>
      </c>
      <c r="G121" s="13" t="s">
        <v>553</v>
      </c>
      <c r="H121" s="13" t="s">
        <v>152</v>
      </c>
      <c r="I121" s="14" t="s">
        <v>239</v>
      </c>
      <c r="J121" s="73">
        <v>7.1</v>
      </c>
      <c r="K121" s="73">
        <v>6</v>
      </c>
      <c r="L121" s="73">
        <v>7</v>
      </c>
      <c r="M121" s="73">
        <v>8</v>
      </c>
      <c r="N121" s="73">
        <v>6.3</v>
      </c>
      <c r="O121" s="73">
        <v>11.1</v>
      </c>
      <c r="P121" s="73">
        <v>15</v>
      </c>
      <c r="Q121" s="66">
        <v>23.432175590627836</v>
      </c>
      <c r="R121" s="13">
        <v>16.420680288369809</v>
      </c>
      <c r="S121" s="13">
        <v>15.755641592979813</v>
      </c>
      <c r="T121" s="13">
        <v>18.768394589848697</v>
      </c>
      <c r="U121" s="13">
        <v>5.0397976392551698</v>
      </c>
      <c r="V121" s="13">
        <v>24.858430970133732</v>
      </c>
      <c r="W121" s="14">
        <v>42.670815581493471</v>
      </c>
      <c r="X121" s="5">
        <v>24</v>
      </c>
      <c r="Y121" s="5">
        <v>26</v>
      </c>
      <c r="Z121" s="5">
        <v>26</v>
      </c>
      <c r="AA121" s="5">
        <v>26</v>
      </c>
      <c r="AB121" s="5">
        <v>27</v>
      </c>
      <c r="AC121" s="5">
        <v>24</v>
      </c>
      <c r="AD121" s="6">
        <v>18</v>
      </c>
    </row>
    <row r="122" spans="2:30" x14ac:dyDescent="0.25">
      <c r="B122" s="4" t="s">
        <v>45</v>
      </c>
      <c r="C122" s="66" t="s">
        <v>494</v>
      </c>
      <c r="D122" s="13" t="s">
        <v>230</v>
      </c>
      <c r="E122" s="13" t="s">
        <v>153</v>
      </c>
      <c r="F122" s="13" t="s">
        <v>152</v>
      </c>
      <c r="G122" s="13" t="s">
        <v>554</v>
      </c>
      <c r="H122" s="13" t="s">
        <v>180</v>
      </c>
      <c r="I122" s="14" t="s">
        <v>243</v>
      </c>
      <c r="J122" s="73">
        <v>8.9</v>
      </c>
      <c r="K122" s="73">
        <v>8.8000000000000007</v>
      </c>
      <c r="L122" s="73">
        <v>8.9</v>
      </c>
      <c r="M122" s="73">
        <v>9.1999999999999993</v>
      </c>
      <c r="N122" s="73">
        <v>9.4</v>
      </c>
      <c r="O122" s="73">
        <v>10.7</v>
      </c>
      <c r="P122" s="73">
        <v>9.5</v>
      </c>
      <c r="Q122" s="66">
        <v>33.416944443200819</v>
      </c>
      <c r="R122" s="13">
        <v>30.655659725317257</v>
      </c>
      <c r="S122" s="13">
        <v>26.618250019443877</v>
      </c>
      <c r="T122" s="13">
        <v>25.128389322915588</v>
      </c>
      <c r="U122" s="13">
        <v>21.295888578907977</v>
      </c>
      <c r="V122" s="13">
        <v>22.662546594247306</v>
      </c>
      <c r="W122" s="14">
        <v>13.116833685343373</v>
      </c>
      <c r="X122" s="5">
        <v>21</v>
      </c>
      <c r="Y122" s="5">
        <v>23</v>
      </c>
      <c r="Z122" s="5">
        <v>24</v>
      </c>
      <c r="AA122" s="5">
        <v>24</v>
      </c>
      <c r="AB122" s="5">
        <v>24</v>
      </c>
      <c r="AC122" s="5">
        <v>25</v>
      </c>
      <c r="AD122" s="6">
        <v>26</v>
      </c>
    </row>
    <row r="123" spans="2:30" x14ac:dyDescent="0.25">
      <c r="B123" s="4" t="s">
        <v>46</v>
      </c>
      <c r="C123" s="66" t="s">
        <v>116</v>
      </c>
      <c r="D123" s="13" t="s">
        <v>380</v>
      </c>
      <c r="E123" s="13" t="s">
        <v>142</v>
      </c>
      <c r="F123" s="13" t="s">
        <v>299</v>
      </c>
      <c r="G123" s="13" t="s">
        <v>555</v>
      </c>
      <c r="H123" s="13" t="s">
        <v>271</v>
      </c>
      <c r="I123" s="14" t="s">
        <v>556</v>
      </c>
      <c r="J123" s="73">
        <v>13.9</v>
      </c>
      <c r="K123" s="73">
        <v>14.1</v>
      </c>
      <c r="L123" s="73">
        <v>14.3</v>
      </c>
      <c r="M123" s="73">
        <v>15.8</v>
      </c>
      <c r="N123" s="73">
        <v>17.5</v>
      </c>
      <c r="O123" s="73">
        <v>17.899999999999999</v>
      </c>
      <c r="P123" s="73">
        <v>18.690941728804198</v>
      </c>
      <c r="Q123" s="66">
        <v>61.152413478125766</v>
      </c>
      <c r="R123" s="13">
        <v>57.600442230967758</v>
      </c>
      <c r="S123" s="13">
        <v>57.490926599920691</v>
      </c>
      <c r="T123" s="13">
        <v>60.108360354783542</v>
      </c>
      <c r="U123" s="13">
        <v>63.771481034129827</v>
      </c>
      <c r="V123" s="13">
        <v>62.188465360202912</v>
      </c>
      <c r="W123" s="14">
        <v>62.503911042006969</v>
      </c>
      <c r="X123" s="5">
        <v>9</v>
      </c>
      <c r="Y123" s="5">
        <v>11</v>
      </c>
      <c r="Z123" s="5">
        <v>11</v>
      </c>
      <c r="AA123" s="5">
        <v>9</v>
      </c>
      <c r="AB123" s="5">
        <v>8</v>
      </c>
      <c r="AC123" s="5">
        <v>9</v>
      </c>
      <c r="AD123" s="6">
        <v>11</v>
      </c>
    </row>
    <row r="124" spans="2:30" x14ac:dyDescent="0.25">
      <c r="B124" s="4" t="s">
        <v>47</v>
      </c>
      <c r="C124" s="66" t="s">
        <v>179</v>
      </c>
      <c r="D124" s="13" t="s">
        <v>445</v>
      </c>
      <c r="E124" s="13" t="s">
        <v>341</v>
      </c>
      <c r="F124" s="13" t="s">
        <v>522</v>
      </c>
      <c r="G124" s="13" t="s">
        <v>154</v>
      </c>
      <c r="H124" s="13" t="s">
        <v>155</v>
      </c>
      <c r="I124" s="14" t="s">
        <v>557</v>
      </c>
      <c r="J124" s="73">
        <v>14.2</v>
      </c>
      <c r="K124" s="73">
        <v>16.3</v>
      </c>
      <c r="L124" s="73">
        <v>14.6</v>
      </c>
      <c r="M124" s="73">
        <v>14.4</v>
      </c>
      <c r="N124" s="73">
        <v>17.3</v>
      </c>
      <c r="O124" s="73">
        <v>19.399999999999999</v>
      </c>
      <c r="P124" s="73">
        <v>21</v>
      </c>
      <c r="Q124" s="66">
        <v>62.816541620221258</v>
      </c>
      <c r="R124" s="13">
        <v>68.785068931426466</v>
      </c>
      <c r="S124" s="13">
        <v>59.206075298836062</v>
      </c>
      <c r="T124" s="13">
        <v>52.688366499538823</v>
      </c>
      <c r="U124" s="13">
        <v>62.722700973507074</v>
      </c>
      <c r="V124" s="13">
        <v>70.423031769776998</v>
      </c>
      <c r="W124" s="14">
        <v>74.911523104566314</v>
      </c>
      <c r="X124" s="5">
        <v>7</v>
      </c>
      <c r="Y124" s="5">
        <v>6</v>
      </c>
      <c r="Z124" s="5">
        <v>10</v>
      </c>
      <c r="AA124" s="5">
        <v>14</v>
      </c>
      <c r="AB124" s="5">
        <v>10</v>
      </c>
      <c r="AC124" s="5">
        <v>6</v>
      </c>
      <c r="AD124" s="6">
        <v>7</v>
      </c>
    </row>
    <row r="125" spans="2:30" x14ac:dyDescent="0.25">
      <c r="B125" s="4" t="s">
        <v>48</v>
      </c>
      <c r="C125" s="66" t="s">
        <v>156</v>
      </c>
      <c r="D125" s="13" t="s">
        <v>216</v>
      </c>
      <c r="E125" s="13" t="s">
        <v>558</v>
      </c>
      <c r="F125" s="13" t="s">
        <v>341</v>
      </c>
      <c r="G125" s="13" t="s">
        <v>559</v>
      </c>
      <c r="H125" s="13" t="s">
        <v>244</v>
      </c>
      <c r="I125" s="14" t="s">
        <v>560</v>
      </c>
      <c r="J125" s="73">
        <v>11.9</v>
      </c>
      <c r="K125" s="73">
        <v>15.2</v>
      </c>
      <c r="L125" s="73">
        <v>20</v>
      </c>
      <c r="M125" s="73">
        <v>15.6</v>
      </c>
      <c r="N125" s="73">
        <v>16</v>
      </c>
      <c r="O125" s="73">
        <v>15.5</v>
      </c>
      <c r="P125" s="73">
        <v>16.8</v>
      </c>
      <c r="Q125" s="66">
        <v>50.058225864155787</v>
      </c>
      <c r="R125" s="13">
        <v>63.192755581197112</v>
      </c>
      <c r="S125" s="13">
        <v>90.078751879312875</v>
      </c>
      <c r="T125" s="13">
        <v>59.048361232605714</v>
      </c>
      <c r="U125" s="13">
        <v>55.905630579459114</v>
      </c>
      <c r="V125" s="13">
        <v>49.01315910488438</v>
      </c>
      <c r="W125" s="14">
        <v>52.343027838415331</v>
      </c>
      <c r="X125" s="5">
        <v>13</v>
      </c>
      <c r="Y125" s="5">
        <v>8</v>
      </c>
      <c r="Z125" s="5">
        <v>2</v>
      </c>
      <c r="AA125" s="5">
        <v>10</v>
      </c>
      <c r="AB125" s="5">
        <v>15</v>
      </c>
      <c r="AC125" s="5">
        <v>16</v>
      </c>
      <c r="AD125" s="6">
        <v>15</v>
      </c>
    </row>
    <row r="126" spans="2:30" x14ac:dyDescent="0.25">
      <c r="B126" s="4" t="s">
        <v>56</v>
      </c>
      <c r="C126" s="66" t="s">
        <v>156</v>
      </c>
      <c r="D126" s="13" t="s">
        <v>271</v>
      </c>
      <c r="E126" s="13" t="s">
        <v>150</v>
      </c>
      <c r="F126" s="13" t="s">
        <v>157</v>
      </c>
      <c r="G126" s="13" t="s">
        <v>561</v>
      </c>
      <c r="H126" s="13" t="s">
        <v>271</v>
      </c>
      <c r="I126" s="14" t="s">
        <v>303</v>
      </c>
      <c r="J126" s="73">
        <v>11.9</v>
      </c>
      <c r="K126" s="73">
        <v>15</v>
      </c>
      <c r="L126" s="73">
        <v>17.5</v>
      </c>
      <c r="M126" s="73">
        <v>18.3</v>
      </c>
      <c r="N126" s="73">
        <v>18</v>
      </c>
      <c r="O126" s="73">
        <v>17.899999999999999</v>
      </c>
      <c r="P126" s="73">
        <v>17.600000000000001</v>
      </c>
      <c r="Q126" s="66">
        <v>50.058225864155787</v>
      </c>
      <c r="R126" s="13">
        <v>62.175971335700865</v>
      </c>
      <c r="S126" s="13">
        <v>75.785846055018055</v>
      </c>
      <c r="T126" s="13">
        <v>73.358349382006239</v>
      </c>
      <c r="U126" s="13">
        <v>66.393431185686737</v>
      </c>
      <c r="V126" s="13">
        <v>62.188465360202912</v>
      </c>
      <c r="W126" s="14">
        <v>56.64178884149171</v>
      </c>
      <c r="X126" s="5">
        <v>13</v>
      </c>
      <c r="Y126" s="5">
        <v>9</v>
      </c>
      <c r="Z126" s="5">
        <v>5</v>
      </c>
      <c r="AA126" s="5">
        <v>6</v>
      </c>
      <c r="AB126" s="5">
        <v>6</v>
      </c>
      <c r="AC126" s="5">
        <v>9</v>
      </c>
      <c r="AD126" s="6">
        <v>12</v>
      </c>
    </row>
    <row r="127" spans="2:30" x14ac:dyDescent="0.25">
      <c r="B127" s="4" t="s">
        <v>49</v>
      </c>
      <c r="C127" s="66" t="s">
        <v>245</v>
      </c>
      <c r="D127" s="13" t="s">
        <v>562</v>
      </c>
      <c r="E127" s="13" t="s">
        <v>562</v>
      </c>
      <c r="F127" s="13" t="s">
        <v>236</v>
      </c>
      <c r="G127" s="13" t="s">
        <v>534</v>
      </c>
      <c r="H127" s="13" t="s">
        <v>563</v>
      </c>
      <c r="I127" s="14" t="s">
        <v>444</v>
      </c>
      <c r="J127" s="73">
        <v>9.8000000000000007</v>
      </c>
      <c r="K127" s="73">
        <v>10.7</v>
      </c>
      <c r="L127" s="73">
        <v>11.3</v>
      </c>
      <c r="M127" s="73">
        <v>14.8</v>
      </c>
      <c r="N127" s="73">
        <v>17.399999999999999</v>
      </c>
      <c r="O127" s="73">
        <v>19.3</v>
      </c>
      <c r="P127" s="73">
        <v>19.100000000000001</v>
      </c>
      <c r="Q127" s="66">
        <v>38.409328869487311</v>
      </c>
      <c r="R127" s="13">
        <v>40.315110057531584</v>
      </c>
      <c r="S127" s="13">
        <v>40.33943961076691</v>
      </c>
      <c r="T127" s="13">
        <v>54.808364743894458</v>
      </c>
      <c r="U127" s="13">
        <v>63.24709100381844</v>
      </c>
      <c r="V127" s="13">
        <v>69.874060675805396</v>
      </c>
      <c r="W127" s="14">
        <v>64.701965722259928</v>
      </c>
      <c r="X127" s="5">
        <v>19</v>
      </c>
      <c r="Y127" s="5">
        <v>20</v>
      </c>
      <c r="Z127" s="5">
        <v>20</v>
      </c>
      <c r="AA127" s="5">
        <v>12</v>
      </c>
      <c r="AB127" s="5">
        <v>9</v>
      </c>
      <c r="AC127" s="5">
        <v>7</v>
      </c>
      <c r="AD127" s="6">
        <v>9</v>
      </c>
    </row>
    <row r="128" spans="2:30" x14ac:dyDescent="0.25">
      <c r="B128" s="4" t="s">
        <v>50</v>
      </c>
      <c r="C128" s="66" t="s">
        <v>527</v>
      </c>
      <c r="D128" s="13" t="s">
        <v>190</v>
      </c>
      <c r="E128" s="13" t="s">
        <v>564</v>
      </c>
      <c r="F128" s="13" t="s">
        <v>565</v>
      </c>
      <c r="G128" s="13" t="s">
        <v>149</v>
      </c>
      <c r="H128" s="13" t="s">
        <v>566</v>
      </c>
      <c r="I128" s="14" t="s">
        <v>567</v>
      </c>
      <c r="J128" s="73">
        <v>11.2</v>
      </c>
      <c r="K128" s="73">
        <v>11.6</v>
      </c>
      <c r="L128" s="73">
        <v>12.5</v>
      </c>
      <c r="M128" s="73">
        <v>13.9</v>
      </c>
      <c r="N128" s="73">
        <v>16.8</v>
      </c>
      <c r="O128" s="73">
        <v>15.8</v>
      </c>
      <c r="P128" s="73">
        <v>19</v>
      </c>
      <c r="Q128" s="66">
        <v>46.17526019926629</v>
      </c>
      <c r="R128" s="13">
        <v>44.890639162264691</v>
      </c>
      <c r="S128" s="13">
        <v>47.200034406428415</v>
      </c>
      <c r="T128" s="13">
        <v>50.038368694094281</v>
      </c>
      <c r="U128" s="13">
        <v>60.100750821950164</v>
      </c>
      <c r="V128" s="13">
        <v>50.6600723867992</v>
      </c>
      <c r="W128" s="14">
        <v>64.164620596875366</v>
      </c>
      <c r="X128" s="5">
        <v>17</v>
      </c>
      <c r="Y128" s="5">
        <v>15</v>
      </c>
      <c r="Z128" s="5">
        <v>16</v>
      </c>
      <c r="AA128" s="5">
        <v>16</v>
      </c>
      <c r="AB128" s="5">
        <v>11</v>
      </c>
      <c r="AC128" s="5">
        <v>15</v>
      </c>
      <c r="AD128" s="6">
        <v>10</v>
      </c>
    </row>
    <row r="129" spans="2:30" x14ac:dyDescent="0.25">
      <c r="B129" s="4" t="s">
        <v>51</v>
      </c>
      <c r="C129" s="66" t="s">
        <v>341</v>
      </c>
      <c r="D129" s="13" t="s">
        <v>199</v>
      </c>
      <c r="E129" s="13" t="s">
        <v>386</v>
      </c>
      <c r="F129" s="13" t="s">
        <v>566</v>
      </c>
      <c r="G129" s="13" t="s">
        <v>568</v>
      </c>
      <c r="H129" s="13" t="s">
        <v>244</v>
      </c>
      <c r="I129" s="14" t="s">
        <v>219</v>
      </c>
      <c r="J129" s="73">
        <v>13.6</v>
      </c>
      <c r="K129" s="73">
        <v>13.2</v>
      </c>
      <c r="L129" s="73">
        <v>13</v>
      </c>
      <c r="M129" s="73">
        <v>14</v>
      </c>
      <c r="N129" s="73">
        <v>15.6</v>
      </c>
      <c r="O129" s="73">
        <v>15.5</v>
      </c>
      <c r="P129" s="73">
        <v>14.7</v>
      </c>
      <c r="Q129" s="66">
        <v>59.488285336030266</v>
      </c>
      <c r="R129" s="13">
        <v>53.024913126234651</v>
      </c>
      <c r="S129" s="13">
        <v>50.058615571287383</v>
      </c>
      <c r="T129" s="13">
        <v>50.568368255183188</v>
      </c>
      <c r="U129" s="13">
        <v>53.808070458213592</v>
      </c>
      <c r="V129" s="13">
        <v>49.01315910488438</v>
      </c>
      <c r="W129" s="14">
        <v>41.058780205339829</v>
      </c>
      <c r="X129" s="5">
        <v>10</v>
      </c>
      <c r="Y129" s="5">
        <v>12</v>
      </c>
      <c r="Z129" s="5">
        <v>14</v>
      </c>
      <c r="AA129" s="5">
        <v>15</v>
      </c>
      <c r="AB129" s="5">
        <v>16</v>
      </c>
      <c r="AC129" s="5">
        <v>16</v>
      </c>
      <c r="AD129" s="6">
        <v>19</v>
      </c>
    </row>
    <row r="130" spans="2:30" ht="15.75" thickBot="1" x14ac:dyDescent="0.3">
      <c r="B130" s="7" t="s">
        <v>54</v>
      </c>
      <c r="C130" s="67" t="s">
        <v>246</v>
      </c>
      <c r="D130" s="15" t="s">
        <v>176</v>
      </c>
      <c r="E130" s="15" t="s">
        <v>150</v>
      </c>
      <c r="F130" s="15" t="s">
        <v>357</v>
      </c>
      <c r="G130" s="15" t="s">
        <v>247</v>
      </c>
      <c r="H130" s="15" t="s">
        <v>569</v>
      </c>
      <c r="I130" s="16" t="s">
        <v>366</v>
      </c>
      <c r="J130" s="74">
        <v>18.5</v>
      </c>
      <c r="K130" s="74">
        <v>19.2</v>
      </c>
      <c r="L130" s="74">
        <v>17.5</v>
      </c>
      <c r="M130" s="74">
        <v>18.7</v>
      </c>
      <c r="N130" s="74">
        <v>19.5</v>
      </c>
      <c r="O130" s="74">
        <v>19.5</v>
      </c>
      <c r="P130" s="74">
        <v>23</v>
      </c>
      <c r="Q130" s="67">
        <v>86.669044990256708</v>
      </c>
      <c r="R130" s="15">
        <v>83.528440491122026</v>
      </c>
      <c r="S130" s="15">
        <v>75.785846055018055</v>
      </c>
      <c r="T130" s="15">
        <v>75.478347626361867</v>
      </c>
      <c r="U130" s="15">
        <v>74.259281640357443</v>
      </c>
      <c r="V130" s="15">
        <v>70.9720028637486</v>
      </c>
      <c r="W130" s="16">
        <v>85.658425612257261</v>
      </c>
      <c r="X130" s="8">
        <v>4</v>
      </c>
      <c r="Y130" s="8">
        <v>4</v>
      </c>
      <c r="Z130" s="8">
        <v>5</v>
      </c>
      <c r="AA130" s="8">
        <v>4</v>
      </c>
      <c r="AB130" s="8">
        <v>5</v>
      </c>
      <c r="AC130" s="8">
        <v>5</v>
      </c>
      <c r="AD130" s="9">
        <v>1</v>
      </c>
    </row>
    <row r="132" spans="2:30" ht="15.75" thickBot="1" x14ac:dyDescent="0.3"/>
    <row r="133" spans="2:30" ht="15.75" thickBot="1" x14ac:dyDescent="0.3">
      <c r="B133" s="68" t="s">
        <v>59</v>
      </c>
      <c r="C133" s="139" t="s">
        <v>68</v>
      </c>
      <c r="D133" s="140"/>
      <c r="E133" s="140"/>
      <c r="F133" s="140"/>
      <c r="G133" s="140"/>
      <c r="H133" s="140"/>
      <c r="I133" s="141"/>
      <c r="J133" s="139"/>
      <c r="K133" s="140"/>
      <c r="L133" s="140"/>
      <c r="M133" s="140"/>
      <c r="N133" s="140"/>
      <c r="O133" s="140"/>
      <c r="P133" s="141"/>
      <c r="Q133" s="139" t="s">
        <v>68</v>
      </c>
      <c r="R133" s="140"/>
      <c r="S133" s="140"/>
      <c r="T133" s="140"/>
      <c r="U133" s="140"/>
      <c r="V133" s="140"/>
      <c r="W133" s="141"/>
      <c r="X133" s="139" t="s">
        <v>69</v>
      </c>
      <c r="Y133" s="140"/>
      <c r="Z133" s="140"/>
      <c r="AA133" s="140"/>
      <c r="AB133" s="140"/>
      <c r="AC133" s="140"/>
      <c r="AD133" s="141"/>
    </row>
    <row r="134" spans="2:30" x14ac:dyDescent="0.25">
      <c r="B134" s="68"/>
      <c r="C134" s="1">
        <v>2009</v>
      </c>
      <c r="D134" s="2">
        <v>2010</v>
      </c>
      <c r="E134" s="2">
        <v>2011</v>
      </c>
      <c r="F134" s="2">
        <v>2012</v>
      </c>
      <c r="G134" s="2">
        <v>2013</v>
      </c>
      <c r="H134" s="2">
        <v>2014</v>
      </c>
      <c r="I134" s="3">
        <v>2015</v>
      </c>
      <c r="J134" s="2">
        <v>2009</v>
      </c>
      <c r="K134" s="2">
        <v>2010</v>
      </c>
      <c r="L134" s="2">
        <v>2011</v>
      </c>
      <c r="M134" s="2">
        <v>2012</v>
      </c>
      <c r="N134" s="2">
        <v>2013</v>
      </c>
      <c r="O134" s="2">
        <v>2014</v>
      </c>
      <c r="P134" s="2">
        <v>2015</v>
      </c>
      <c r="Q134" s="1">
        <v>2009</v>
      </c>
      <c r="R134" s="2">
        <v>2010</v>
      </c>
      <c r="S134" s="2">
        <v>2011</v>
      </c>
      <c r="T134" s="2">
        <v>2012</v>
      </c>
      <c r="U134" s="2">
        <v>2013</v>
      </c>
      <c r="V134" s="2">
        <v>2014</v>
      </c>
      <c r="W134" s="3">
        <v>2015</v>
      </c>
      <c r="X134" s="2">
        <v>2009</v>
      </c>
      <c r="Y134" s="2">
        <v>2010</v>
      </c>
      <c r="Z134" s="2">
        <v>2011</v>
      </c>
      <c r="AA134" s="2">
        <v>2012</v>
      </c>
      <c r="AB134" s="2">
        <v>2013</v>
      </c>
      <c r="AC134" s="2">
        <v>2014</v>
      </c>
      <c r="AD134" s="3">
        <v>2015</v>
      </c>
    </row>
    <row r="135" spans="2:30" x14ac:dyDescent="0.25">
      <c r="B135" s="69" t="s">
        <v>59</v>
      </c>
      <c r="C135" s="64">
        <v>2008</v>
      </c>
      <c r="D135" s="63">
        <v>2009</v>
      </c>
      <c r="E135" s="63">
        <v>2010</v>
      </c>
      <c r="F135" s="63">
        <v>2011</v>
      </c>
      <c r="G135" s="63">
        <v>2012</v>
      </c>
      <c r="H135" s="63">
        <v>2013</v>
      </c>
      <c r="I135" s="65">
        <v>2014</v>
      </c>
      <c r="J135" s="63">
        <v>2008</v>
      </c>
      <c r="K135" s="63">
        <v>2009</v>
      </c>
      <c r="L135" s="63">
        <v>2010</v>
      </c>
      <c r="M135" s="63">
        <v>2011</v>
      </c>
      <c r="N135" s="63">
        <v>2012</v>
      </c>
      <c r="O135" s="63">
        <v>2013</v>
      </c>
      <c r="P135" s="63">
        <v>2014</v>
      </c>
      <c r="Q135" s="64">
        <v>2008</v>
      </c>
      <c r="R135" s="63">
        <v>2009</v>
      </c>
      <c r="S135" s="63">
        <v>2010</v>
      </c>
      <c r="T135" s="63">
        <v>2011</v>
      </c>
      <c r="U135" s="63">
        <v>2012</v>
      </c>
      <c r="V135" s="63">
        <v>2013</v>
      </c>
      <c r="W135" s="65">
        <v>2014</v>
      </c>
      <c r="X135" s="63">
        <v>2008</v>
      </c>
      <c r="Y135" s="63">
        <v>2009</v>
      </c>
      <c r="Z135" s="63">
        <v>2010</v>
      </c>
      <c r="AA135" s="63">
        <v>2011</v>
      </c>
      <c r="AB135" s="63">
        <v>2012</v>
      </c>
      <c r="AC135" s="63">
        <v>2013</v>
      </c>
      <c r="AD135" s="65">
        <v>2014</v>
      </c>
    </row>
    <row r="136" spans="2:30" x14ac:dyDescent="0.25">
      <c r="B136" s="4" t="s">
        <v>27</v>
      </c>
      <c r="C136" s="66" t="s">
        <v>570</v>
      </c>
      <c r="D136" s="13" t="s">
        <v>571</v>
      </c>
      <c r="E136" s="13" t="s">
        <v>571</v>
      </c>
      <c r="F136" s="13" t="s">
        <v>571</v>
      </c>
      <c r="G136" s="13" t="s">
        <v>446</v>
      </c>
      <c r="H136" s="13" t="s">
        <v>572</v>
      </c>
      <c r="I136" s="14" t="s">
        <v>430</v>
      </c>
      <c r="J136" s="12">
        <v>1.879997674527494</v>
      </c>
      <c r="K136" s="12">
        <v>2.006118054186663</v>
      </c>
      <c r="L136" s="12">
        <v>2.0931210780920591</v>
      </c>
      <c r="M136" s="12">
        <v>2.2518962016743789</v>
      </c>
      <c r="N136" s="12">
        <v>2.3587909831459375</v>
      </c>
      <c r="O136" s="12">
        <v>2.3989985636297808</v>
      </c>
      <c r="P136" s="12">
        <v>2.2454742268295731</v>
      </c>
      <c r="Q136" s="66">
        <v>68.958707984692694</v>
      </c>
      <c r="R136" s="13">
        <v>68.131912265745186</v>
      </c>
      <c r="S136" s="13">
        <v>67.587488729149271</v>
      </c>
      <c r="T136" s="13">
        <v>67.857951875674985</v>
      </c>
      <c r="U136" s="13">
        <v>67.552929714732429</v>
      </c>
      <c r="V136" s="13">
        <v>66.227116642589209</v>
      </c>
      <c r="W136" s="14">
        <v>64.956134452775984</v>
      </c>
      <c r="X136" s="5">
        <v>9</v>
      </c>
      <c r="Y136" s="5">
        <v>9</v>
      </c>
      <c r="Z136" s="5">
        <v>9</v>
      </c>
      <c r="AA136" s="5">
        <v>9</v>
      </c>
      <c r="AB136" s="5">
        <v>8</v>
      </c>
      <c r="AC136" s="5">
        <v>8</v>
      </c>
      <c r="AD136" s="6">
        <v>8</v>
      </c>
    </row>
    <row r="137" spans="2:30" x14ac:dyDescent="0.25">
      <c r="B137" s="4" t="s">
        <v>28</v>
      </c>
      <c r="C137" s="66" t="s">
        <v>241</v>
      </c>
      <c r="D137" s="13" t="s">
        <v>157</v>
      </c>
      <c r="E137" s="13" t="s">
        <v>573</v>
      </c>
      <c r="F137" s="13" t="s">
        <v>563</v>
      </c>
      <c r="G137" s="13" t="s">
        <v>155</v>
      </c>
      <c r="H137" s="13" t="s">
        <v>433</v>
      </c>
      <c r="I137" s="14" t="s">
        <v>432</v>
      </c>
      <c r="J137" s="12">
        <v>2.0198060048752837</v>
      </c>
      <c r="K137" s="12">
        <v>2.1470127628549216</v>
      </c>
      <c r="L137" s="12">
        <v>2.215609823148819</v>
      </c>
      <c r="M137" s="12">
        <v>2.3235016005435321</v>
      </c>
      <c r="N137" s="12">
        <v>2.4411325975565239</v>
      </c>
      <c r="O137" s="12">
        <v>2.4743671226867874</v>
      </c>
      <c r="P137" s="12">
        <v>2.3413083479531225</v>
      </c>
      <c r="Q137" s="66">
        <v>74.267408180083677</v>
      </c>
      <c r="R137" s="13">
        <v>73.105432056524776</v>
      </c>
      <c r="S137" s="13">
        <v>71.806938595031312</v>
      </c>
      <c r="T137" s="13">
        <v>70.186435753201323</v>
      </c>
      <c r="U137" s="13">
        <v>70.115714878689687</v>
      </c>
      <c r="V137" s="13">
        <v>68.501624382456839</v>
      </c>
      <c r="W137" s="14">
        <v>67.912047487789195</v>
      </c>
      <c r="X137" s="5">
        <v>7</v>
      </c>
      <c r="Y137" s="5">
        <v>6</v>
      </c>
      <c r="Z137" s="5">
        <v>7</v>
      </c>
      <c r="AA137" s="5">
        <v>7</v>
      </c>
      <c r="AB137" s="5">
        <v>6</v>
      </c>
      <c r="AC137" s="5">
        <v>7</v>
      </c>
      <c r="AD137" s="6">
        <v>7</v>
      </c>
    </row>
    <row r="138" spans="2:30" x14ac:dyDescent="0.25">
      <c r="B138" s="4" t="s">
        <v>29</v>
      </c>
      <c r="C138" s="66" t="s">
        <v>574</v>
      </c>
      <c r="D138" s="13" t="s">
        <v>575</v>
      </c>
      <c r="E138" s="13" t="s">
        <v>248</v>
      </c>
      <c r="F138" s="13" t="s">
        <v>576</v>
      </c>
      <c r="G138" s="13" t="s">
        <v>576</v>
      </c>
      <c r="H138" s="13" t="s">
        <v>576</v>
      </c>
      <c r="I138" s="14" t="s">
        <v>576</v>
      </c>
      <c r="J138" s="12">
        <v>0.4408086084574066</v>
      </c>
      <c r="K138" s="12">
        <v>0.48479205969531225</v>
      </c>
      <c r="L138" s="12">
        <v>0.48815874820089994</v>
      </c>
      <c r="M138" s="12">
        <v>0.47927716536052783</v>
      </c>
      <c r="N138" s="12">
        <v>0.52407296405842108</v>
      </c>
      <c r="O138" s="12">
        <v>0.5235737214862356</v>
      </c>
      <c r="P138" s="12">
        <v>0.46206862381527636</v>
      </c>
      <c r="Q138" s="66">
        <v>14.310867922195044</v>
      </c>
      <c r="R138" s="13">
        <v>14.429789500827219</v>
      </c>
      <c r="S138" s="13">
        <v>12.300302265879523</v>
      </c>
      <c r="T138" s="13">
        <v>10.215442899565325</v>
      </c>
      <c r="U138" s="13">
        <v>10.449505728937922</v>
      </c>
      <c r="V138" s="13">
        <v>9.6296657643114258</v>
      </c>
      <c r="W138" s="14">
        <v>9.9486714859123921</v>
      </c>
      <c r="X138" s="5">
        <v>26</v>
      </c>
      <c r="Y138" s="5">
        <v>27</v>
      </c>
      <c r="Z138" s="5">
        <v>27</v>
      </c>
      <c r="AA138" s="5">
        <v>28</v>
      </c>
      <c r="AB138" s="5">
        <v>28</v>
      </c>
      <c r="AC138" s="5">
        <v>28</v>
      </c>
      <c r="AD138" s="6">
        <v>28</v>
      </c>
    </row>
    <row r="139" spans="2:30" x14ac:dyDescent="0.25">
      <c r="B139" s="4" t="s">
        <v>30</v>
      </c>
      <c r="C139" s="66" t="s">
        <v>405</v>
      </c>
      <c r="D139" s="13" t="s">
        <v>562</v>
      </c>
      <c r="E139" s="13" t="s">
        <v>392</v>
      </c>
      <c r="F139" s="13" t="s">
        <v>577</v>
      </c>
      <c r="G139" s="13" t="s">
        <v>221</v>
      </c>
      <c r="H139" s="13" t="s">
        <v>234</v>
      </c>
      <c r="I139" s="14" t="s">
        <v>159</v>
      </c>
      <c r="J139" s="12">
        <v>1.0772345892257524</v>
      </c>
      <c r="K139" s="12">
        <v>1.2209394597795347</v>
      </c>
      <c r="L139" s="12">
        <v>1.2712513366150366</v>
      </c>
      <c r="M139" s="12">
        <v>1.4483000249192455</v>
      </c>
      <c r="N139" s="12">
        <v>1.4321849660803219</v>
      </c>
      <c r="O139" s="12">
        <v>1.4114975106401948</v>
      </c>
      <c r="P139" s="12">
        <v>1.2211521638952916</v>
      </c>
      <c r="Q139" s="66">
        <v>38.476772200231743</v>
      </c>
      <c r="R139" s="13">
        <v>40.415461339436462</v>
      </c>
      <c r="S139" s="13">
        <v>39.276004528369995</v>
      </c>
      <c r="T139" s="13">
        <v>41.726392368055123</v>
      </c>
      <c r="U139" s="13">
        <v>38.713415571517238</v>
      </c>
      <c r="V139" s="13">
        <v>36.425846507473949</v>
      </c>
      <c r="W139" s="14">
        <v>33.361886992879946</v>
      </c>
      <c r="X139" s="5">
        <v>20</v>
      </c>
      <c r="Y139" s="5">
        <v>20</v>
      </c>
      <c r="Z139" s="5">
        <v>20</v>
      </c>
      <c r="AA139" s="5">
        <v>19</v>
      </c>
      <c r="AB139" s="5">
        <v>19</v>
      </c>
      <c r="AC139" s="5">
        <v>20</v>
      </c>
      <c r="AD139" s="6">
        <v>20</v>
      </c>
    </row>
    <row r="140" spans="2:30" x14ac:dyDescent="0.25">
      <c r="B140" s="4" t="s">
        <v>31</v>
      </c>
      <c r="C140" s="66" t="s">
        <v>394</v>
      </c>
      <c r="D140" s="13" t="s">
        <v>322</v>
      </c>
      <c r="E140" s="13" t="s">
        <v>158</v>
      </c>
      <c r="F140" s="13" t="s">
        <v>382</v>
      </c>
      <c r="G140" s="13" t="s">
        <v>304</v>
      </c>
      <c r="H140" s="13" t="s">
        <v>160</v>
      </c>
      <c r="I140" s="14" t="s">
        <v>386</v>
      </c>
      <c r="J140" s="12">
        <v>1.1373985132668585</v>
      </c>
      <c r="K140" s="12">
        <v>1.470643594795026</v>
      </c>
      <c r="L140" s="12">
        <v>1.6285372463803502</v>
      </c>
      <c r="M140" s="12">
        <v>1.7028857363670897</v>
      </c>
      <c r="N140" s="12">
        <v>1.832923245759045</v>
      </c>
      <c r="O140" s="12">
        <v>2.0337738110911698</v>
      </c>
      <c r="P140" s="12">
        <v>1.7470862470862472</v>
      </c>
      <c r="Q140" s="66">
        <v>40.761272948634804</v>
      </c>
      <c r="R140" s="13">
        <v>49.229904898585026</v>
      </c>
      <c r="S140" s="13">
        <v>51.583665802409641</v>
      </c>
      <c r="T140" s="13">
        <v>50.00507992397695</v>
      </c>
      <c r="U140" s="13">
        <v>51.185919604160347</v>
      </c>
      <c r="V140" s="13">
        <v>55.205192688703008</v>
      </c>
      <c r="W140" s="14">
        <v>49.583827506714883</v>
      </c>
      <c r="X140" s="5">
        <v>18</v>
      </c>
      <c r="Y140" s="5">
        <v>13</v>
      </c>
      <c r="Z140" s="5">
        <v>12</v>
      </c>
      <c r="AA140" s="5">
        <v>12</v>
      </c>
      <c r="AB140" s="5">
        <v>11</v>
      </c>
      <c r="AC140" s="5">
        <v>11</v>
      </c>
      <c r="AD140" s="6">
        <v>14</v>
      </c>
    </row>
    <row r="141" spans="2:30" x14ac:dyDescent="0.25">
      <c r="B141" s="4" t="s">
        <v>32</v>
      </c>
      <c r="C141" s="66" t="s">
        <v>450</v>
      </c>
      <c r="D141" s="13" t="s">
        <v>208</v>
      </c>
      <c r="E141" s="13" t="s">
        <v>384</v>
      </c>
      <c r="F141" s="13" t="s">
        <v>332</v>
      </c>
      <c r="G141" s="13" t="s">
        <v>391</v>
      </c>
      <c r="H141" s="13" t="s">
        <v>391</v>
      </c>
      <c r="I141" s="14" t="s">
        <v>158</v>
      </c>
      <c r="J141" s="12">
        <v>1.2794605112311959</v>
      </c>
      <c r="K141" s="12">
        <v>1.367379313381067</v>
      </c>
      <c r="L141" s="12">
        <v>1.5261771837514653</v>
      </c>
      <c r="M141" s="12">
        <v>1.6359721632985533</v>
      </c>
      <c r="N141" s="12">
        <v>1.725295787089457</v>
      </c>
      <c r="O141" s="12">
        <v>1.7893473118663006</v>
      </c>
      <c r="P141" s="12">
        <v>1.8167084093584931</v>
      </c>
      <c r="Q141" s="66">
        <v>46.155547770992236</v>
      </c>
      <c r="R141" s="13">
        <v>45.58472225015629</v>
      </c>
      <c r="S141" s="13">
        <v>48.057601817257471</v>
      </c>
      <c r="T141" s="13">
        <v>47.829166116660843</v>
      </c>
      <c r="U141" s="13">
        <v>47.836142504364012</v>
      </c>
      <c r="V141" s="13">
        <v>47.8287751046119</v>
      </c>
      <c r="W141" s="14">
        <v>51.731257405101736</v>
      </c>
      <c r="X141" s="5">
        <v>13</v>
      </c>
      <c r="Y141" s="5">
        <v>15</v>
      </c>
      <c r="Z141" s="5">
        <v>14</v>
      </c>
      <c r="AA141" s="5">
        <v>13</v>
      </c>
      <c r="AB141" s="5">
        <v>15</v>
      </c>
      <c r="AC141" s="5">
        <v>15</v>
      </c>
      <c r="AD141" s="6">
        <v>12</v>
      </c>
    </row>
    <row r="142" spans="2:30" x14ac:dyDescent="0.25">
      <c r="B142" s="4" t="s">
        <v>33</v>
      </c>
      <c r="C142" s="66" t="s">
        <v>301</v>
      </c>
      <c r="D142" s="13" t="s">
        <v>301</v>
      </c>
      <c r="E142" s="13" t="s">
        <v>578</v>
      </c>
      <c r="F142" s="13" t="s">
        <v>147</v>
      </c>
      <c r="G142" s="13" t="s">
        <v>147</v>
      </c>
      <c r="H142" s="13" t="s">
        <v>147</v>
      </c>
      <c r="I142" s="14" t="s">
        <v>147</v>
      </c>
      <c r="J142" s="12">
        <v>2.5554298913161588</v>
      </c>
      <c r="K142" s="12">
        <v>2.7655149251984641</v>
      </c>
      <c r="L142" s="12">
        <v>2.9394345314990518</v>
      </c>
      <c r="M142" s="12">
        <v>3.2510716415484007</v>
      </c>
      <c r="N142" s="12">
        <v>3.5394576415514267</v>
      </c>
      <c r="O142" s="12">
        <v>3.6581047322792091</v>
      </c>
      <c r="P142" s="12">
        <v>3.6123827181702386</v>
      </c>
      <c r="Q142" s="66">
        <v>94.605728675946096</v>
      </c>
      <c r="R142" s="13">
        <v>94.938279962108226</v>
      </c>
      <c r="S142" s="13">
        <v>96.741001452441196</v>
      </c>
      <c r="T142" s="13">
        <v>100</v>
      </c>
      <c r="U142" s="13">
        <v>100</v>
      </c>
      <c r="V142" s="13">
        <v>100</v>
      </c>
      <c r="W142" s="14">
        <v>100</v>
      </c>
      <c r="X142" s="5">
        <v>2</v>
      </c>
      <c r="Y142" s="5">
        <v>2</v>
      </c>
      <c r="Z142" s="5">
        <v>1</v>
      </c>
      <c r="AA142" s="5">
        <v>1</v>
      </c>
      <c r="AB142" s="5">
        <v>1</v>
      </c>
      <c r="AC142" s="5">
        <v>1</v>
      </c>
      <c r="AD142" s="6">
        <v>1</v>
      </c>
    </row>
    <row r="143" spans="2:30" x14ac:dyDescent="0.25">
      <c r="B143" s="4" t="s">
        <v>34</v>
      </c>
      <c r="C143" s="66" t="s">
        <v>200</v>
      </c>
      <c r="D143" s="13" t="s">
        <v>393</v>
      </c>
      <c r="E143" s="13" t="s">
        <v>322</v>
      </c>
      <c r="F143" s="13" t="s">
        <v>191</v>
      </c>
      <c r="G143" s="13" t="s">
        <v>322</v>
      </c>
      <c r="H143" s="13" t="s">
        <v>156</v>
      </c>
      <c r="I143" s="14" t="s">
        <v>381</v>
      </c>
      <c r="J143" s="12">
        <v>1.2013986431965571</v>
      </c>
      <c r="K143" s="12">
        <v>1.2652162846062855</v>
      </c>
      <c r="L143" s="12">
        <v>1.5405500678772059</v>
      </c>
      <c r="M143" s="12">
        <v>1.6146984943519396</v>
      </c>
      <c r="N143" s="12">
        <v>1.7574480254931832</v>
      </c>
      <c r="O143" s="12">
        <v>1.8724804457594226</v>
      </c>
      <c r="P143" s="12">
        <v>1.8596782688196478</v>
      </c>
      <c r="Q143" s="66">
        <v>43.191439315815167</v>
      </c>
      <c r="R143" s="13">
        <v>41.978413324150253</v>
      </c>
      <c r="S143" s="13">
        <v>48.552713951589425</v>
      </c>
      <c r="T143" s="13">
        <v>47.137383151405103</v>
      </c>
      <c r="U143" s="13">
        <v>48.836842820466778</v>
      </c>
      <c r="V143" s="13">
        <v>50.337605827199255</v>
      </c>
      <c r="W143" s="14">
        <v>53.056622172940166</v>
      </c>
      <c r="X143" s="5">
        <v>15</v>
      </c>
      <c r="Y143" s="5">
        <v>17</v>
      </c>
      <c r="Z143" s="5">
        <v>13</v>
      </c>
      <c r="AA143" s="5">
        <v>14</v>
      </c>
      <c r="AB143" s="5">
        <v>13</v>
      </c>
      <c r="AC143" s="5">
        <v>13</v>
      </c>
      <c r="AD143" s="6">
        <v>11</v>
      </c>
    </row>
    <row r="144" spans="2:30" x14ac:dyDescent="0.25">
      <c r="B144" s="4" t="s">
        <v>35</v>
      </c>
      <c r="C144" s="66" t="s">
        <v>579</v>
      </c>
      <c r="D144" s="13" t="s">
        <v>187</v>
      </c>
      <c r="E144" s="13" t="s">
        <v>441</v>
      </c>
      <c r="F144" s="13" t="s">
        <v>186</v>
      </c>
      <c r="G144" s="13" t="s">
        <v>540</v>
      </c>
      <c r="H144" s="13" t="s">
        <v>540</v>
      </c>
      <c r="I144" s="14" t="s">
        <v>540</v>
      </c>
      <c r="J144" s="12">
        <v>2.5359948261328586</v>
      </c>
      <c r="K144" s="12">
        <v>2.6753961557655068</v>
      </c>
      <c r="L144" s="12">
        <v>2.7291785910561801</v>
      </c>
      <c r="M144" s="12">
        <v>2.8660853879875194</v>
      </c>
      <c r="N144" s="12">
        <v>2.9506039971732561</v>
      </c>
      <c r="O144" s="12">
        <v>3.0663349226432248</v>
      </c>
      <c r="P144" s="12">
        <v>2.9233554749627149</v>
      </c>
      <c r="Q144" s="66">
        <v>93.867754521763999</v>
      </c>
      <c r="R144" s="13">
        <v>91.757127969020715</v>
      </c>
      <c r="S144" s="13">
        <v>89.498177637963551</v>
      </c>
      <c r="T144" s="13">
        <v>87.830323242455435</v>
      </c>
      <c r="U144" s="13">
        <v>85.97240840776908</v>
      </c>
      <c r="V144" s="13">
        <v>86.366306414322679</v>
      </c>
      <c r="W144" s="14">
        <v>85.864741888790718</v>
      </c>
      <c r="X144" s="5">
        <v>3</v>
      </c>
      <c r="Y144" s="5">
        <v>3</v>
      </c>
      <c r="Z144" s="5">
        <v>3</v>
      </c>
      <c r="AA144" s="5">
        <v>3</v>
      </c>
      <c r="AB144" s="5">
        <v>3</v>
      </c>
      <c r="AC144" s="5">
        <v>3</v>
      </c>
      <c r="AD144" s="6">
        <v>3</v>
      </c>
    </row>
    <row r="145" spans="2:30" x14ac:dyDescent="0.25">
      <c r="B145" s="4" t="s">
        <v>36</v>
      </c>
      <c r="C145" s="66" t="s">
        <v>517</v>
      </c>
      <c r="D145" s="13" t="s">
        <v>383</v>
      </c>
      <c r="E145" s="13" t="s">
        <v>235</v>
      </c>
      <c r="F145" s="13" t="s">
        <v>185</v>
      </c>
      <c r="G145" s="13" t="s">
        <v>523</v>
      </c>
      <c r="H145" s="13" t="s">
        <v>393</v>
      </c>
      <c r="I145" s="14" t="s">
        <v>189</v>
      </c>
      <c r="J145" s="12">
        <v>1.3888439069652687</v>
      </c>
      <c r="K145" s="12">
        <v>1.47124580417169</v>
      </c>
      <c r="L145" s="12">
        <v>1.5008462259214732</v>
      </c>
      <c r="M145" s="12">
        <v>1.5442132202017336</v>
      </c>
      <c r="N145" s="12">
        <v>1.5899019107546684</v>
      </c>
      <c r="O145" s="12">
        <v>1.6095765633816015</v>
      </c>
      <c r="P145" s="12">
        <v>1.4652715365349791</v>
      </c>
      <c r="Q145" s="66">
        <v>50.308974486421022</v>
      </c>
      <c r="R145" s="13">
        <v>49.25116261849049</v>
      </c>
      <c r="S145" s="13">
        <v>47.185009755277441</v>
      </c>
      <c r="T145" s="13">
        <v>44.845323794795874</v>
      </c>
      <c r="U145" s="13">
        <v>43.622168561234133</v>
      </c>
      <c r="V145" s="13">
        <v>42.403569104309156</v>
      </c>
      <c r="W145" s="14">
        <v>40.891518685903137</v>
      </c>
      <c r="X145" s="5">
        <v>11</v>
      </c>
      <c r="Y145" s="5">
        <v>12</v>
      </c>
      <c r="Z145" s="5">
        <v>15</v>
      </c>
      <c r="AA145" s="5">
        <v>16</v>
      </c>
      <c r="AB145" s="5">
        <v>17</v>
      </c>
      <c r="AC145" s="5">
        <v>17</v>
      </c>
      <c r="AD145" s="6">
        <v>17</v>
      </c>
    </row>
    <row r="146" spans="2:30" x14ac:dyDescent="0.25">
      <c r="B146" s="4" t="s">
        <v>37</v>
      </c>
      <c r="C146" s="66" t="s">
        <v>486</v>
      </c>
      <c r="D146" s="13" t="s">
        <v>381</v>
      </c>
      <c r="E146" s="13" t="s">
        <v>305</v>
      </c>
      <c r="F146" s="13" t="s">
        <v>517</v>
      </c>
      <c r="G146" s="13" t="s">
        <v>382</v>
      </c>
      <c r="H146" s="13" t="s">
        <v>202</v>
      </c>
      <c r="I146" s="14" t="s">
        <v>391</v>
      </c>
      <c r="J146" s="12">
        <v>1.4786694035747985</v>
      </c>
      <c r="K146" s="12">
        <v>1.5693329591652221</v>
      </c>
      <c r="L146" s="12">
        <v>1.634343658757484</v>
      </c>
      <c r="M146" s="12">
        <v>1.7090062651004687</v>
      </c>
      <c r="N146" s="12">
        <v>1.8099813389868278</v>
      </c>
      <c r="O146" s="12">
        <v>1.8155265652941681</v>
      </c>
      <c r="P146" s="12">
        <v>1.6902350888500732</v>
      </c>
      <c r="Q146" s="66">
        <v>53.719762886624828</v>
      </c>
      <c r="R146" s="13">
        <v>52.713595034815143</v>
      </c>
      <c r="S146" s="13">
        <v>51.783683084933024</v>
      </c>
      <c r="T146" s="13">
        <v>50.204108945568635</v>
      </c>
      <c r="U146" s="13">
        <v>50.471879944753695</v>
      </c>
      <c r="V146" s="13">
        <v>48.618824898460318</v>
      </c>
      <c r="W146" s="14">
        <v>47.83030717683927</v>
      </c>
      <c r="X146" s="5">
        <v>10</v>
      </c>
      <c r="Y146" s="5">
        <v>11</v>
      </c>
      <c r="Z146" s="5">
        <v>11</v>
      </c>
      <c r="AA146" s="5">
        <v>11</v>
      </c>
      <c r="AB146" s="5">
        <v>12</v>
      </c>
      <c r="AC146" s="5">
        <v>14</v>
      </c>
      <c r="AD146" s="6">
        <v>15</v>
      </c>
    </row>
    <row r="147" spans="2:30" x14ac:dyDescent="0.25">
      <c r="B147" s="4" t="s">
        <v>38</v>
      </c>
      <c r="C147" s="66" t="s">
        <v>273</v>
      </c>
      <c r="D147" s="13" t="s">
        <v>191</v>
      </c>
      <c r="E147" s="13" t="s">
        <v>184</v>
      </c>
      <c r="F147" s="13" t="s">
        <v>238</v>
      </c>
      <c r="G147" s="13" t="s">
        <v>394</v>
      </c>
      <c r="H147" s="13" t="s">
        <v>221</v>
      </c>
      <c r="I147" s="14" t="s">
        <v>448</v>
      </c>
      <c r="J147" s="12">
        <v>1.331488262084537</v>
      </c>
      <c r="K147" s="12">
        <v>1.4212752891832774</v>
      </c>
      <c r="L147" s="12">
        <v>1.4219141815507754</v>
      </c>
      <c r="M147" s="12">
        <v>1.4504568390649184</v>
      </c>
      <c r="N147" s="12">
        <v>1.4982089887847272</v>
      </c>
      <c r="O147" s="12">
        <v>1.484706224866714</v>
      </c>
      <c r="P147" s="12">
        <v>1.3824659950416849</v>
      </c>
      <c r="Q147" s="66">
        <v>48.131107670991085</v>
      </c>
      <c r="R147" s="13">
        <v>47.487225934143531</v>
      </c>
      <c r="S147" s="13">
        <v>44.465986028816651</v>
      </c>
      <c r="T147" s="13">
        <v>41.796528238315368</v>
      </c>
      <c r="U147" s="13">
        <v>40.768335031899738</v>
      </c>
      <c r="V147" s="13">
        <v>38.63517343659872</v>
      </c>
      <c r="W147" s="14">
        <v>38.337459895550133</v>
      </c>
      <c r="X147" s="5">
        <v>12</v>
      </c>
      <c r="Y147" s="5">
        <v>14</v>
      </c>
      <c r="Z147" s="5">
        <v>16</v>
      </c>
      <c r="AA147" s="5">
        <v>18</v>
      </c>
      <c r="AB147" s="5">
        <v>18</v>
      </c>
      <c r="AC147" s="5">
        <v>19</v>
      </c>
      <c r="AD147" s="6">
        <v>18</v>
      </c>
    </row>
    <row r="148" spans="2:30" x14ac:dyDescent="0.25">
      <c r="B148" s="4" t="s">
        <v>39</v>
      </c>
      <c r="C148" s="66" t="s">
        <v>161</v>
      </c>
      <c r="D148" s="13" t="s">
        <v>195</v>
      </c>
      <c r="E148" s="13" t="s">
        <v>337</v>
      </c>
      <c r="F148" s="13" t="s">
        <v>337</v>
      </c>
      <c r="G148" s="13" t="s">
        <v>348</v>
      </c>
      <c r="H148" s="13" t="s">
        <v>580</v>
      </c>
      <c r="I148" s="14" t="s">
        <v>180</v>
      </c>
      <c r="J148" s="12">
        <v>0.83560626400080995</v>
      </c>
      <c r="K148" s="12">
        <v>0.82663948419769762</v>
      </c>
      <c r="L148" s="12">
        <v>0.81862739811494012</v>
      </c>
      <c r="M148" s="12">
        <v>0.90719529343997363</v>
      </c>
      <c r="N148" s="12">
        <v>0.94332166221553226</v>
      </c>
      <c r="O148" s="12">
        <v>0.93230278788607857</v>
      </c>
      <c r="P148" s="12">
        <v>0.87877688027120593</v>
      </c>
      <c r="Q148" s="66">
        <v>29.301837243618632</v>
      </c>
      <c r="R148" s="13">
        <v>26.496849699608624</v>
      </c>
      <c r="S148" s="13">
        <v>23.684171860689002</v>
      </c>
      <c r="T148" s="13">
        <v>24.130601223799982</v>
      </c>
      <c r="U148" s="13">
        <v>23.498124599681091</v>
      </c>
      <c r="V148" s="13">
        <v>21.964483315117256</v>
      </c>
      <c r="W148" s="14">
        <v>22.801644441836256</v>
      </c>
      <c r="X148" s="5">
        <v>22</v>
      </c>
      <c r="Y148" s="5">
        <v>22</v>
      </c>
      <c r="Z148" s="5">
        <v>23</v>
      </c>
      <c r="AA148" s="5">
        <v>23</v>
      </c>
      <c r="AB148" s="5">
        <v>24</v>
      </c>
      <c r="AC148" s="5">
        <v>24</v>
      </c>
      <c r="AD148" s="6">
        <v>25</v>
      </c>
    </row>
    <row r="149" spans="2:30" x14ac:dyDescent="0.25">
      <c r="B149" s="4" t="s">
        <v>40</v>
      </c>
      <c r="C149" s="66" t="s">
        <v>535</v>
      </c>
      <c r="D149" s="13" t="s">
        <v>581</v>
      </c>
      <c r="E149" s="13" t="s">
        <v>293</v>
      </c>
      <c r="F149" s="13" t="s">
        <v>157</v>
      </c>
      <c r="G149" s="13" t="s">
        <v>432</v>
      </c>
      <c r="H149" s="13" t="s">
        <v>431</v>
      </c>
      <c r="I149" s="14" t="s">
        <v>249</v>
      </c>
      <c r="J149" s="12">
        <v>1.8937741222338995</v>
      </c>
      <c r="K149" s="12">
        <v>2.1015977185433816</v>
      </c>
      <c r="L149" s="12">
        <v>2.2991901399472638</v>
      </c>
      <c r="M149" s="12">
        <v>2.4113513346770565</v>
      </c>
      <c r="N149" s="12">
        <v>2.3767611588521804</v>
      </c>
      <c r="O149" s="12">
        <v>2.3911548615828884</v>
      </c>
      <c r="P149" s="12">
        <v>2.2058403635131119</v>
      </c>
      <c r="Q149" s="66">
        <v>69.481817233253608</v>
      </c>
      <c r="R149" s="13">
        <v>71.502301436379199</v>
      </c>
      <c r="S149" s="13">
        <v>74.68608440015943</v>
      </c>
      <c r="T149" s="13">
        <v>73.043157352485764</v>
      </c>
      <c r="U149" s="13">
        <v>68.112230136801202</v>
      </c>
      <c r="V149" s="13">
        <v>65.990405721774366</v>
      </c>
      <c r="W149" s="14">
        <v>63.733665338106228</v>
      </c>
      <c r="X149" s="5">
        <v>8</v>
      </c>
      <c r="Y149" s="5">
        <v>8</v>
      </c>
      <c r="Z149" s="5">
        <v>5</v>
      </c>
      <c r="AA149" s="5">
        <v>6</v>
      </c>
      <c r="AB149" s="5">
        <v>7</v>
      </c>
      <c r="AC149" s="5">
        <v>9</v>
      </c>
      <c r="AD149" s="6">
        <v>9</v>
      </c>
    </row>
    <row r="150" spans="2:30" x14ac:dyDescent="0.25">
      <c r="B150" s="4" t="s">
        <v>41</v>
      </c>
      <c r="C150" s="66" t="s">
        <v>393</v>
      </c>
      <c r="D150" s="13" t="s">
        <v>238</v>
      </c>
      <c r="E150" s="13" t="s">
        <v>221</v>
      </c>
      <c r="F150" s="13" t="s">
        <v>405</v>
      </c>
      <c r="G150" s="13" t="s">
        <v>405</v>
      </c>
      <c r="H150" s="13" t="s">
        <v>198</v>
      </c>
      <c r="I150" s="14" t="s">
        <v>245</v>
      </c>
      <c r="J150" s="12">
        <v>1.1821415403763242</v>
      </c>
      <c r="K150" s="12">
        <v>1.2553095659083793</v>
      </c>
      <c r="L150" s="12">
        <v>1.2775100070293799</v>
      </c>
      <c r="M150" s="12">
        <v>1.3285675373694361</v>
      </c>
      <c r="N150" s="12">
        <v>1.424953783792416</v>
      </c>
      <c r="O150" s="12">
        <v>1.4922117997473647</v>
      </c>
      <c r="P150" s="12">
        <v>1.3822361334977926</v>
      </c>
      <c r="Q150" s="66">
        <v>42.460222618997996</v>
      </c>
      <c r="R150" s="13">
        <v>41.628710613726021</v>
      </c>
      <c r="S150" s="13">
        <v>39.491601039120134</v>
      </c>
      <c r="T150" s="13">
        <v>37.832898703068977</v>
      </c>
      <c r="U150" s="13">
        <v>38.488353592614217</v>
      </c>
      <c r="V150" s="13">
        <v>38.861680197133751</v>
      </c>
      <c r="W150" s="14">
        <v>38.330370033130848</v>
      </c>
      <c r="X150" s="5">
        <v>17</v>
      </c>
      <c r="Y150" s="5">
        <v>18</v>
      </c>
      <c r="Z150" s="5">
        <v>19</v>
      </c>
      <c r="AA150" s="5">
        <v>20</v>
      </c>
      <c r="AB150" s="5">
        <v>20</v>
      </c>
      <c r="AC150" s="5">
        <v>18</v>
      </c>
      <c r="AD150" s="6">
        <v>19</v>
      </c>
    </row>
    <row r="151" spans="2:30" x14ac:dyDescent="0.25">
      <c r="B151" s="4" t="s">
        <v>42</v>
      </c>
      <c r="C151" s="66" t="s">
        <v>582</v>
      </c>
      <c r="D151" s="13" t="s">
        <v>582</v>
      </c>
      <c r="E151" s="13" t="s">
        <v>582</v>
      </c>
      <c r="F151" s="13" t="s">
        <v>151</v>
      </c>
      <c r="G151" s="13" t="s">
        <v>547</v>
      </c>
      <c r="H151" s="13" t="s">
        <v>250</v>
      </c>
      <c r="I151" s="14" t="s">
        <v>547</v>
      </c>
      <c r="J151" s="12">
        <v>0.36271392137092173</v>
      </c>
      <c r="K151" s="12">
        <v>0.39993822919373379</v>
      </c>
      <c r="L151" s="12">
        <v>0.45743842030007964</v>
      </c>
      <c r="M151" s="12">
        <v>0.73797180668127182</v>
      </c>
      <c r="N151" s="12">
        <v>0.71106746680503297</v>
      </c>
      <c r="O151" s="12">
        <v>0.77378231813521425</v>
      </c>
      <c r="P151" s="12">
        <v>0.66800968089422363</v>
      </c>
      <c r="Q151" s="66">
        <v>11.345513285860434</v>
      </c>
      <c r="R151" s="13">
        <v>11.434487481950676</v>
      </c>
      <c r="S151" s="13">
        <v>11.242059050301606</v>
      </c>
      <c r="T151" s="13">
        <v>18.627745757043069</v>
      </c>
      <c r="U151" s="13">
        <v>16.269488016277762</v>
      </c>
      <c r="V151" s="13">
        <v>17.180578197559178</v>
      </c>
      <c r="W151" s="14">
        <v>16.30072906130632</v>
      </c>
      <c r="X151" s="5">
        <v>28</v>
      </c>
      <c r="Y151" s="5">
        <v>28</v>
      </c>
      <c r="Z151" s="5">
        <v>28</v>
      </c>
      <c r="AA151" s="5">
        <v>26</v>
      </c>
      <c r="AB151" s="5">
        <v>26</v>
      </c>
      <c r="AC151" s="5">
        <v>26</v>
      </c>
      <c r="AD151" s="6">
        <v>26</v>
      </c>
    </row>
    <row r="152" spans="2:30" x14ac:dyDescent="0.25">
      <c r="B152" s="4" t="s">
        <v>43</v>
      </c>
      <c r="C152" s="66" t="s">
        <v>162</v>
      </c>
      <c r="D152" s="13" t="s">
        <v>326</v>
      </c>
      <c r="E152" s="13" t="s">
        <v>319</v>
      </c>
      <c r="F152" s="13" t="s">
        <v>451</v>
      </c>
      <c r="G152" s="13" t="s">
        <v>327</v>
      </c>
      <c r="H152" s="13" t="s">
        <v>455</v>
      </c>
      <c r="I152" s="14" t="s">
        <v>337</v>
      </c>
      <c r="J152" s="12">
        <v>0.88526289413108672</v>
      </c>
      <c r="K152" s="12">
        <v>0.83829168153333566</v>
      </c>
      <c r="L152" s="12">
        <v>0.89275029471899214</v>
      </c>
      <c r="M152" s="12">
        <v>0.92970292748317163</v>
      </c>
      <c r="N152" s="12">
        <v>0.96649366552127902</v>
      </c>
      <c r="O152" s="12">
        <v>0.96470109239696422</v>
      </c>
      <c r="P152" s="12">
        <v>0.93257214609141847</v>
      </c>
      <c r="Q152" s="66">
        <v>31.187362672749298</v>
      </c>
      <c r="R152" s="13">
        <v>26.908167020199532</v>
      </c>
      <c r="S152" s="13">
        <v>26.237531730527067</v>
      </c>
      <c r="T152" s="13">
        <v>24.862510602401688</v>
      </c>
      <c r="U152" s="13">
        <v>24.219325741002184</v>
      </c>
      <c r="V152" s="13">
        <v>22.942214550669476</v>
      </c>
      <c r="W152" s="14">
        <v>24.460908653744312</v>
      </c>
      <c r="X152" s="5">
        <v>21</v>
      </c>
      <c r="Y152" s="5">
        <v>21</v>
      </c>
      <c r="Z152" s="5">
        <v>21</v>
      </c>
      <c r="AA152" s="5">
        <v>22</v>
      </c>
      <c r="AB152" s="5">
        <v>22</v>
      </c>
      <c r="AC152" s="5">
        <v>23</v>
      </c>
      <c r="AD152" s="6">
        <v>23</v>
      </c>
    </row>
    <row r="153" spans="2:30" x14ac:dyDescent="0.25">
      <c r="B153" s="4" t="s">
        <v>44</v>
      </c>
      <c r="C153" s="66" t="s">
        <v>389</v>
      </c>
      <c r="D153" s="13" t="s">
        <v>583</v>
      </c>
      <c r="E153" s="13" t="s">
        <v>341</v>
      </c>
      <c r="F153" s="13" t="s">
        <v>584</v>
      </c>
      <c r="G153" s="13" t="s">
        <v>585</v>
      </c>
      <c r="H153" s="13" t="s">
        <v>586</v>
      </c>
      <c r="I153" s="14" t="s">
        <v>447</v>
      </c>
      <c r="J153" s="12">
        <v>1.1967780007813162</v>
      </c>
      <c r="K153" s="12">
        <v>1.5906788247213779</v>
      </c>
      <c r="L153" s="12">
        <v>1.8324284058271225</v>
      </c>
      <c r="M153" s="12">
        <v>2.2096748984057517</v>
      </c>
      <c r="N153" s="12">
        <v>2.3301762588762953</v>
      </c>
      <c r="O153" s="12">
        <v>2.7409554985764535</v>
      </c>
      <c r="P153" s="12">
        <v>2.8416533255712415</v>
      </c>
      <c r="Q153" s="66">
        <v>43.015987644004191</v>
      </c>
      <c r="R153" s="13">
        <v>53.467094479885347</v>
      </c>
      <c r="S153" s="13">
        <v>58.607237845568065</v>
      </c>
      <c r="T153" s="13">
        <v>66.484988027951772</v>
      </c>
      <c r="U153" s="13">
        <v>66.662330333679506</v>
      </c>
      <c r="V153" s="13">
        <v>76.546853479395708</v>
      </c>
      <c r="W153" s="14">
        <v>83.344716186634955</v>
      </c>
      <c r="X153" s="5">
        <v>16</v>
      </c>
      <c r="Y153" s="5">
        <v>10</v>
      </c>
      <c r="Z153" s="5">
        <v>10</v>
      </c>
      <c r="AA153" s="5">
        <v>10</v>
      </c>
      <c r="AB153" s="5">
        <v>9</v>
      </c>
      <c r="AC153" s="5">
        <v>5</v>
      </c>
      <c r="AD153" s="6">
        <v>4</v>
      </c>
    </row>
    <row r="154" spans="2:30" x14ac:dyDescent="0.25">
      <c r="B154" s="4" t="s">
        <v>18</v>
      </c>
      <c r="C154" s="66" t="s">
        <v>587</v>
      </c>
      <c r="D154" s="13" t="s">
        <v>544</v>
      </c>
      <c r="E154" s="13" t="s">
        <v>545</v>
      </c>
      <c r="F154" s="13" t="s">
        <v>545</v>
      </c>
      <c r="G154" s="13" t="s">
        <v>337</v>
      </c>
      <c r="H154" s="13" t="s">
        <v>286</v>
      </c>
      <c r="I154" s="14" t="s">
        <v>163</v>
      </c>
      <c r="J154" s="12">
        <v>0.61544949881323685</v>
      </c>
      <c r="K154" s="12">
        <v>0.55727795272141456</v>
      </c>
      <c r="L154" s="12">
        <v>0.69319150683409536</v>
      </c>
      <c r="M154" s="12">
        <v>0.74218834716100912</v>
      </c>
      <c r="N154" s="12">
        <v>0.94839849980600943</v>
      </c>
      <c r="O154" s="12">
        <v>1.0916926932533393</v>
      </c>
      <c r="P154" s="12">
        <v>1.0461136290974742</v>
      </c>
      <c r="Q154" s="66">
        <v>20.942204742032189</v>
      </c>
      <c r="R154" s="13">
        <v>16.988508894374384</v>
      </c>
      <c r="S154" s="13">
        <v>19.363199722420315</v>
      </c>
      <c r="T154" s="13">
        <v>18.764860369642971</v>
      </c>
      <c r="U154" s="13">
        <v>23.656135153030444</v>
      </c>
      <c r="V154" s="13">
        <v>26.774626668665949</v>
      </c>
      <c r="W154" s="14">
        <v>27.962988556993505</v>
      </c>
      <c r="X154" s="5">
        <v>25</v>
      </c>
      <c r="Y154" s="5">
        <v>25</v>
      </c>
      <c r="Z154" s="5">
        <v>25</v>
      </c>
      <c r="AA154" s="5">
        <v>25</v>
      </c>
      <c r="AB154" s="5">
        <v>23</v>
      </c>
      <c r="AC154" s="5">
        <v>22</v>
      </c>
      <c r="AD154" s="6">
        <v>22</v>
      </c>
    </row>
    <row r="155" spans="2:30" x14ac:dyDescent="0.25">
      <c r="B155" s="4" t="s">
        <v>45</v>
      </c>
      <c r="C155" s="66" t="s">
        <v>193</v>
      </c>
      <c r="D155" s="13" t="s">
        <v>192</v>
      </c>
      <c r="E155" s="13" t="s">
        <v>193</v>
      </c>
      <c r="F155" s="13" t="s">
        <v>447</v>
      </c>
      <c r="G155" s="13" t="s">
        <v>176</v>
      </c>
      <c r="H155" s="13" t="s">
        <v>492</v>
      </c>
      <c r="I155" s="14" t="s">
        <v>428</v>
      </c>
      <c r="J155" s="12">
        <v>2.3091788258243517</v>
      </c>
      <c r="K155" s="12">
        <v>2.5107688216522512</v>
      </c>
      <c r="L155" s="12">
        <v>2.602837323149958</v>
      </c>
      <c r="M155" s="12">
        <v>2.7050038247939954</v>
      </c>
      <c r="N155" s="12">
        <v>2.8778241791503678</v>
      </c>
      <c r="O155" s="12">
        <v>2.9038280170981685</v>
      </c>
      <c r="P155" s="12">
        <v>2.7199010011652898</v>
      </c>
      <c r="Q155" s="66">
        <v>85.255262389426548</v>
      </c>
      <c r="R155" s="13">
        <v>85.945857183519465</v>
      </c>
      <c r="S155" s="13">
        <v>85.146017399279998</v>
      </c>
      <c r="T155" s="13">
        <v>82.592229065391379</v>
      </c>
      <c r="U155" s="13">
        <v>83.707222824516947</v>
      </c>
      <c r="V155" s="13">
        <v>81.462096766840972</v>
      </c>
      <c r="W155" s="14">
        <v>79.589380628324349</v>
      </c>
      <c r="X155" s="5">
        <v>4</v>
      </c>
      <c r="Y155" s="5">
        <v>4</v>
      </c>
      <c r="Z155" s="5">
        <v>4</v>
      </c>
      <c r="AA155" s="5">
        <v>4</v>
      </c>
      <c r="AB155" s="5">
        <v>4</v>
      </c>
      <c r="AC155" s="5">
        <v>4</v>
      </c>
      <c r="AD155" s="6">
        <v>5</v>
      </c>
    </row>
    <row r="156" spans="2:30" x14ac:dyDescent="0.25">
      <c r="B156" s="4" t="s">
        <v>46</v>
      </c>
      <c r="C156" s="66" t="s">
        <v>196</v>
      </c>
      <c r="D156" s="13" t="s">
        <v>348</v>
      </c>
      <c r="E156" s="13" t="s">
        <v>580</v>
      </c>
      <c r="F156" s="13" t="s">
        <v>554</v>
      </c>
      <c r="G156" s="13" t="s">
        <v>587</v>
      </c>
      <c r="H156" s="13" t="s">
        <v>207</v>
      </c>
      <c r="I156" s="14" t="s">
        <v>348</v>
      </c>
      <c r="J156" s="12">
        <v>0.70511735589072211</v>
      </c>
      <c r="K156" s="12">
        <v>0.7312274667559755</v>
      </c>
      <c r="L156" s="12">
        <v>0.76451358786208379</v>
      </c>
      <c r="M156" s="12">
        <v>0.80966367141726447</v>
      </c>
      <c r="N156" s="12">
        <v>0.87623955069952042</v>
      </c>
      <c r="O156" s="12">
        <v>0.9278940564520991</v>
      </c>
      <c r="P156" s="12">
        <v>0.89686804011251975</v>
      </c>
      <c r="Q156" s="66">
        <v>24.347007368623764</v>
      </c>
      <c r="R156" s="13">
        <v>23.128848434622029</v>
      </c>
      <c r="S156" s="13">
        <v>21.820078067353332</v>
      </c>
      <c r="T156" s="13">
        <v>20.959041355194831</v>
      </c>
      <c r="U156" s="13">
        <v>21.410273378997978</v>
      </c>
      <c r="V156" s="13">
        <v>21.831434549225374</v>
      </c>
      <c r="W156" s="14">
        <v>23.359649195952027</v>
      </c>
      <c r="X156" s="5">
        <v>24</v>
      </c>
      <c r="Y156" s="5">
        <v>24</v>
      </c>
      <c r="Z156" s="5">
        <v>24</v>
      </c>
      <c r="AA156" s="5">
        <v>24</v>
      </c>
      <c r="AB156" s="5">
        <v>25</v>
      </c>
      <c r="AC156" s="5">
        <v>25</v>
      </c>
      <c r="AD156" s="6">
        <v>24</v>
      </c>
    </row>
    <row r="157" spans="2:30" x14ac:dyDescent="0.25">
      <c r="B157" s="4" t="s">
        <v>47</v>
      </c>
      <c r="C157" s="66" t="s">
        <v>390</v>
      </c>
      <c r="D157" s="13" t="s">
        <v>219</v>
      </c>
      <c r="E157" s="13" t="s">
        <v>239</v>
      </c>
      <c r="F157" s="13" t="s">
        <v>208</v>
      </c>
      <c r="G157" s="13" t="s">
        <v>384</v>
      </c>
      <c r="H157" s="13" t="s">
        <v>382</v>
      </c>
      <c r="I157" s="14" t="s">
        <v>156</v>
      </c>
      <c r="J157" s="12">
        <v>1.1214460181749113</v>
      </c>
      <c r="K157" s="12">
        <v>1.241691055223443</v>
      </c>
      <c r="L157" s="12">
        <v>1.3817590217940567</v>
      </c>
      <c r="M157" s="12">
        <v>1.5742399709592261</v>
      </c>
      <c r="N157" s="12">
        <v>1.734330272865813</v>
      </c>
      <c r="O157" s="12">
        <v>1.8748410575888581</v>
      </c>
      <c r="P157" s="12">
        <v>1.7691059268357172</v>
      </c>
      <c r="Q157" s="66">
        <v>40.155536412042707</v>
      </c>
      <c r="R157" s="13">
        <v>41.147983317061168</v>
      </c>
      <c r="S157" s="13">
        <v>43.082734993209705</v>
      </c>
      <c r="T157" s="13">
        <v>45.821741860158298</v>
      </c>
      <c r="U157" s="13">
        <v>48.117330167216672</v>
      </c>
      <c r="V157" s="13">
        <v>50.408845478640814</v>
      </c>
      <c r="W157" s="14">
        <v>50.263003750365755</v>
      </c>
      <c r="X157" s="5">
        <v>19</v>
      </c>
      <c r="Y157" s="5">
        <v>19</v>
      </c>
      <c r="Z157" s="5">
        <v>18</v>
      </c>
      <c r="AA157" s="5">
        <v>15</v>
      </c>
      <c r="AB157" s="5">
        <v>14</v>
      </c>
      <c r="AC157" s="5">
        <v>12</v>
      </c>
      <c r="AD157" s="6">
        <v>13</v>
      </c>
    </row>
    <row r="158" spans="2:30" x14ac:dyDescent="0.25">
      <c r="B158" s="4" t="s">
        <v>48</v>
      </c>
      <c r="C158" s="66" t="s">
        <v>233</v>
      </c>
      <c r="D158" s="13" t="s">
        <v>547</v>
      </c>
      <c r="E158" s="13" t="s">
        <v>250</v>
      </c>
      <c r="F158" s="13" t="s">
        <v>251</v>
      </c>
      <c r="G158" s="13" t="s">
        <v>251</v>
      </c>
      <c r="H158" s="13" t="s">
        <v>251</v>
      </c>
      <c r="I158" s="14" t="s">
        <v>575</v>
      </c>
      <c r="J158" s="12">
        <v>0.40978005821047847</v>
      </c>
      <c r="K158" s="12">
        <v>0.53282022906720006</v>
      </c>
      <c r="L158" s="12">
        <v>0.62775062808322746</v>
      </c>
      <c r="M158" s="12">
        <v>0.63775248143985319</v>
      </c>
      <c r="N158" s="12">
        <v>0.67869241216011389</v>
      </c>
      <c r="O158" s="12">
        <v>0.70629109562731884</v>
      </c>
      <c r="P158" s="12">
        <v>0.60614686360482373</v>
      </c>
      <c r="Q158" s="66">
        <v>13.132674388599426</v>
      </c>
      <c r="R158" s="13">
        <v>16.125162259277801</v>
      </c>
      <c r="S158" s="13">
        <v>17.10891499658203</v>
      </c>
      <c r="T158" s="13">
        <v>15.368786422599079</v>
      </c>
      <c r="U158" s="13">
        <v>15.261852808731525</v>
      </c>
      <c r="V158" s="13">
        <v>15.143796416296432</v>
      </c>
      <c r="W158" s="14">
        <v>14.392628837038245</v>
      </c>
      <c r="X158" s="5">
        <v>27</v>
      </c>
      <c r="Y158" s="5">
        <v>26</v>
      </c>
      <c r="Z158" s="5">
        <v>26</v>
      </c>
      <c r="AA158" s="5">
        <v>27</v>
      </c>
      <c r="AB158" s="5">
        <v>27</v>
      </c>
      <c r="AC158" s="5">
        <v>27</v>
      </c>
      <c r="AD158" s="6">
        <v>27</v>
      </c>
    </row>
    <row r="159" spans="2:30" x14ac:dyDescent="0.25">
      <c r="B159" s="4" t="s">
        <v>56</v>
      </c>
      <c r="C159" s="66" t="s">
        <v>588</v>
      </c>
      <c r="D159" s="13" t="s">
        <v>182</v>
      </c>
      <c r="E159" s="13" t="s">
        <v>195</v>
      </c>
      <c r="F159" s="13" t="s">
        <v>319</v>
      </c>
      <c r="G159" s="13" t="s">
        <v>194</v>
      </c>
      <c r="H159" s="13" t="s">
        <v>203</v>
      </c>
      <c r="I159" s="14" t="s">
        <v>509</v>
      </c>
      <c r="J159" s="12">
        <v>0.82904518993821497</v>
      </c>
      <c r="K159" s="12">
        <v>0.80856108639991708</v>
      </c>
      <c r="L159" s="12">
        <v>0.88842963707769917</v>
      </c>
      <c r="M159" s="12">
        <v>0.97914749633097853</v>
      </c>
      <c r="N159" s="12">
        <v>1.0813567363306626</v>
      </c>
      <c r="O159" s="12">
        <v>1.1600795145149474</v>
      </c>
      <c r="P159" s="12">
        <v>1.1925887780701039</v>
      </c>
      <c r="Q159" s="66">
        <v>29.052704913152862</v>
      </c>
      <c r="R159" s="13">
        <v>25.858690395524668</v>
      </c>
      <c r="S159" s="13">
        <v>26.088695212554512</v>
      </c>
      <c r="T159" s="13">
        <v>26.470362569035402</v>
      </c>
      <c r="U159" s="13">
        <v>27.794302693591703</v>
      </c>
      <c r="V159" s="13">
        <v>28.838436249353574</v>
      </c>
      <c r="W159" s="14">
        <v>32.48087631009885</v>
      </c>
      <c r="X159" s="5">
        <v>23</v>
      </c>
      <c r="Y159" s="5">
        <v>23</v>
      </c>
      <c r="Z159" s="5">
        <v>22</v>
      </c>
      <c r="AA159" s="5">
        <v>21</v>
      </c>
      <c r="AB159" s="5">
        <v>21</v>
      </c>
      <c r="AC159" s="5">
        <v>21</v>
      </c>
      <c r="AD159" s="6">
        <v>21</v>
      </c>
    </row>
    <row r="160" spans="2:30" x14ac:dyDescent="0.25">
      <c r="B160" s="4" t="s">
        <v>49</v>
      </c>
      <c r="C160" s="66" t="s">
        <v>586</v>
      </c>
      <c r="D160" s="13" t="s">
        <v>150</v>
      </c>
      <c r="E160" s="13" t="s">
        <v>157</v>
      </c>
      <c r="F160" s="13" t="s">
        <v>252</v>
      </c>
      <c r="G160" s="13" t="s">
        <v>150</v>
      </c>
      <c r="H160" s="13" t="s">
        <v>157</v>
      </c>
      <c r="I160" s="14" t="s">
        <v>164</v>
      </c>
      <c r="J160" s="12">
        <v>2.0912624131397339</v>
      </c>
      <c r="K160" s="12">
        <v>2.2427106981925462</v>
      </c>
      <c r="L160" s="12">
        <v>2.2618731240620309</v>
      </c>
      <c r="M160" s="12">
        <v>2.5651293612442561</v>
      </c>
      <c r="N160" s="12">
        <v>2.639265656561725</v>
      </c>
      <c r="O160" s="12">
        <v>2.6359746670545912</v>
      </c>
      <c r="P160" s="12">
        <v>2.4259067432929742</v>
      </c>
      <c r="Q160" s="66">
        <v>76.980698923001285</v>
      </c>
      <c r="R160" s="13">
        <v>76.483526094527832</v>
      </c>
      <c r="S160" s="13">
        <v>73.400600761649613</v>
      </c>
      <c r="T160" s="13">
        <v>78.043753134849226</v>
      </c>
      <c r="U160" s="13">
        <v>76.282371529068797</v>
      </c>
      <c r="V160" s="13">
        <v>73.378692686330666</v>
      </c>
      <c r="W160" s="14">
        <v>70.521405163265598</v>
      </c>
      <c r="X160" s="5">
        <v>5</v>
      </c>
      <c r="Y160" s="5">
        <v>5</v>
      </c>
      <c r="Z160" s="5">
        <v>6</v>
      </c>
      <c r="AA160" s="5">
        <v>5</v>
      </c>
      <c r="AB160" s="5">
        <v>5</v>
      </c>
      <c r="AC160" s="5">
        <v>6</v>
      </c>
      <c r="AD160" s="6">
        <v>6</v>
      </c>
    </row>
    <row r="161" spans="2:30" x14ac:dyDescent="0.25">
      <c r="B161" s="4" t="s">
        <v>50</v>
      </c>
      <c r="C161" s="66" t="s">
        <v>387</v>
      </c>
      <c r="D161" s="13" t="s">
        <v>185</v>
      </c>
      <c r="E161" s="13" t="s">
        <v>523</v>
      </c>
      <c r="F161" s="13" t="s">
        <v>523</v>
      </c>
      <c r="G161" s="13" t="s">
        <v>184</v>
      </c>
      <c r="H161" s="13" t="s">
        <v>389</v>
      </c>
      <c r="I161" s="14" t="s">
        <v>389</v>
      </c>
      <c r="J161" s="12">
        <v>1.2279024043015321</v>
      </c>
      <c r="K161" s="12">
        <v>1.3436629940094429</v>
      </c>
      <c r="L161" s="12">
        <v>1.4120407423047909</v>
      </c>
      <c r="M161" s="12">
        <v>1.522312021722164</v>
      </c>
      <c r="N161" s="12">
        <v>1.606190957413395</v>
      </c>
      <c r="O161" s="12">
        <v>1.6313811729996797</v>
      </c>
      <c r="P161" s="12">
        <v>1.5435735472322003</v>
      </c>
      <c r="Q161" s="66">
        <v>44.197820848350226</v>
      </c>
      <c r="R161" s="13">
        <v>44.747546852484348</v>
      </c>
      <c r="S161" s="13">
        <v>44.125869213325082</v>
      </c>
      <c r="T161" s="13">
        <v>44.13313465314512</v>
      </c>
      <c r="U161" s="13">
        <v>44.129145834036123</v>
      </c>
      <c r="V161" s="13">
        <v>43.061598844583195</v>
      </c>
      <c r="W161" s="14">
        <v>43.306670318475319</v>
      </c>
      <c r="X161" s="5">
        <v>14</v>
      </c>
      <c r="Y161" s="5">
        <v>16</v>
      </c>
      <c r="Z161" s="5">
        <v>17</v>
      </c>
      <c r="AA161" s="5">
        <v>17</v>
      </c>
      <c r="AB161" s="5">
        <v>16</v>
      </c>
      <c r="AC161" s="5">
        <v>16</v>
      </c>
      <c r="AD161" s="6">
        <v>16</v>
      </c>
    </row>
    <row r="162" spans="2:30" x14ac:dyDescent="0.25">
      <c r="B162" s="4" t="s">
        <v>51</v>
      </c>
      <c r="C162" s="66" t="s">
        <v>253</v>
      </c>
      <c r="D162" s="13" t="s">
        <v>589</v>
      </c>
      <c r="E162" s="13" t="s">
        <v>463</v>
      </c>
      <c r="F162" s="13" t="s">
        <v>301</v>
      </c>
      <c r="G162" s="13" t="s">
        <v>463</v>
      </c>
      <c r="H162" s="13" t="s">
        <v>463</v>
      </c>
      <c r="I162" s="14" t="s">
        <v>301</v>
      </c>
      <c r="J162" s="12">
        <v>2.6475218631270838</v>
      </c>
      <c r="K162" s="12">
        <v>2.801321082712219</v>
      </c>
      <c r="L162" s="12">
        <v>2.9288011303671402</v>
      </c>
      <c r="M162" s="12">
        <v>3.0842529979597626</v>
      </c>
      <c r="N162" s="12">
        <v>3.2782321357861108</v>
      </c>
      <c r="O162" s="12">
        <v>3.3797992505776278</v>
      </c>
      <c r="P162" s="12">
        <v>3.2220257330741005</v>
      </c>
      <c r="Q162" s="66">
        <v>98.102578023409365</v>
      </c>
      <c r="R162" s="13">
        <v>96.202221203831755</v>
      </c>
      <c r="S162" s="13">
        <v>96.374705733115107</v>
      </c>
      <c r="T162" s="13">
        <v>94.924757048307242</v>
      </c>
      <c r="U162" s="13">
        <v>96.169445943919271</v>
      </c>
      <c r="V162" s="13">
        <v>95.826179987332452</v>
      </c>
      <c r="W162" s="14">
        <v>95.076944168853828</v>
      </c>
      <c r="X162" s="5">
        <v>1</v>
      </c>
      <c r="Y162" s="5">
        <v>1</v>
      </c>
      <c r="Z162" s="5">
        <v>2</v>
      </c>
      <c r="AA162" s="5">
        <v>2</v>
      </c>
      <c r="AB162" s="5">
        <v>2</v>
      </c>
      <c r="AC162" s="5">
        <v>2</v>
      </c>
      <c r="AD162" s="6">
        <v>2</v>
      </c>
    </row>
    <row r="163" spans="2:30" ht="15.75" thickBot="1" x14ac:dyDescent="0.3">
      <c r="B163" s="7" t="s">
        <v>54</v>
      </c>
      <c r="C163" s="67" t="s">
        <v>459</v>
      </c>
      <c r="D163" s="15" t="s">
        <v>590</v>
      </c>
      <c r="E163" s="15" t="s">
        <v>591</v>
      </c>
      <c r="F163" s="15" t="s">
        <v>446</v>
      </c>
      <c r="G163" s="15" t="s">
        <v>584</v>
      </c>
      <c r="H163" s="15" t="s">
        <v>592</v>
      </c>
      <c r="I163" s="16" t="s">
        <v>154</v>
      </c>
      <c r="J163" s="11">
        <v>2.0202805359421361</v>
      </c>
      <c r="K163" s="11">
        <v>2.141505197506806</v>
      </c>
      <c r="L163" s="11">
        <v>2.1835317524275277</v>
      </c>
      <c r="M163" s="11">
        <v>2.2549078161442324</v>
      </c>
      <c r="N163" s="11">
        <v>2.3216520440889936</v>
      </c>
      <c r="O163" s="11">
        <v>2.3710397590359373</v>
      </c>
      <c r="P163" s="11">
        <v>2.1977072517191028</v>
      </c>
      <c r="Q163" s="67">
        <v>74.285426728485277</v>
      </c>
      <c r="R163" s="15">
        <v>72.911017479023798</v>
      </c>
      <c r="S163" s="15">
        <v>70.701924325026454</v>
      </c>
      <c r="T163" s="15">
        <v>67.955884375865281</v>
      </c>
      <c r="U163" s="15">
        <v>66.397024250629556</v>
      </c>
      <c r="V163" s="15">
        <v>65.383362718648016</v>
      </c>
      <c r="W163" s="16">
        <v>63.482807179391145</v>
      </c>
      <c r="X163" s="8">
        <v>6</v>
      </c>
      <c r="Y163" s="8">
        <v>7</v>
      </c>
      <c r="Z163" s="8">
        <v>8</v>
      </c>
      <c r="AA163" s="8">
        <v>8</v>
      </c>
      <c r="AB163" s="8">
        <v>10</v>
      </c>
      <c r="AC163" s="8">
        <v>10</v>
      </c>
      <c r="AD163" s="9">
        <v>10</v>
      </c>
    </row>
    <row r="165" spans="2:30" ht="15.75" thickBot="1" x14ac:dyDescent="0.3"/>
    <row r="166" spans="2:30" ht="15.75" thickBot="1" x14ac:dyDescent="0.3">
      <c r="B166" s="68" t="s">
        <v>61</v>
      </c>
      <c r="C166" s="139" t="s">
        <v>68</v>
      </c>
      <c r="D166" s="140"/>
      <c r="E166" s="140"/>
      <c r="F166" s="140"/>
      <c r="G166" s="140"/>
      <c r="H166" s="140"/>
      <c r="I166" s="141"/>
      <c r="J166" s="139"/>
      <c r="K166" s="140"/>
      <c r="L166" s="140"/>
      <c r="M166" s="140"/>
      <c r="N166" s="140"/>
      <c r="O166" s="140"/>
      <c r="P166" s="141"/>
      <c r="Q166" s="139" t="s">
        <v>68</v>
      </c>
      <c r="R166" s="140"/>
      <c r="S166" s="140"/>
      <c r="T166" s="140"/>
      <c r="U166" s="140"/>
      <c r="V166" s="140"/>
      <c r="W166" s="141"/>
      <c r="X166" s="139" t="s">
        <v>69</v>
      </c>
      <c r="Y166" s="140"/>
      <c r="Z166" s="140"/>
      <c r="AA166" s="140"/>
      <c r="AB166" s="140"/>
      <c r="AC166" s="140"/>
      <c r="AD166" s="141"/>
    </row>
    <row r="167" spans="2:30" x14ac:dyDescent="0.25">
      <c r="B167" s="68"/>
      <c r="C167" s="1">
        <v>2009</v>
      </c>
      <c r="D167" s="2">
        <v>2010</v>
      </c>
      <c r="E167" s="2">
        <v>2011</v>
      </c>
      <c r="F167" s="2">
        <v>2012</v>
      </c>
      <c r="G167" s="2">
        <v>2013</v>
      </c>
      <c r="H167" s="2">
        <v>2014</v>
      </c>
      <c r="I167" s="3">
        <v>2015</v>
      </c>
      <c r="J167" s="2">
        <v>2009</v>
      </c>
      <c r="K167" s="2">
        <v>2010</v>
      </c>
      <c r="L167" s="2">
        <v>2011</v>
      </c>
      <c r="M167" s="2">
        <v>2012</v>
      </c>
      <c r="N167" s="2">
        <v>2013</v>
      </c>
      <c r="O167" s="2">
        <v>2014</v>
      </c>
      <c r="P167" s="2">
        <v>2015</v>
      </c>
      <c r="Q167" s="1">
        <v>2009</v>
      </c>
      <c r="R167" s="2">
        <v>2010</v>
      </c>
      <c r="S167" s="2">
        <v>2011</v>
      </c>
      <c r="T167" s="2">
        <v>2012</v>
      </c>
      <c r="U167" s="2">
        <v>2013</v>
      </c>
      <c r="V167" s="2">
        <v>2014</v>
      </c>
      <c r="W167" s="3">
        <v>2015</v>
      </c>
      <c r="X167" s="2">
        <v>2009</v>
      </c>
      <c r="Y167" s="2">
        <v>2010</v>
      </c>
      <c r="Z167" s="2">
        <v>2011</v>
      </c>
      <c r="AA167" s="2">
        <v>2012</v>
      </c>
      <c r="AB167" s="2">
        <v>2013</v>
      </c>
      <c r="AC167" s="2">
        <v>2014</v>
      </c>
      <c r="AD167" s="3">
        <v>2015</v>
      </c>
    </row>
    <row r="168" spans="2:30" x14ac:dyDescent="0.25">
      <c r="B168" s="69" t="s">
        <v>61</v>
      </c>
      <c r="C168" s="64">
        <v>2008</v>
      </c>
      <c r="D168" s="63">
        <v>2009</v>
      </c>
      <c r="E168" s="63">
        <v>2010</v>
      </c>
      <c r="F168" s="63">
        <v>2011</v>
      </c>
      <c r="G168" s="63">
        <v>2012</v>
      </c>
      <c r="H168" s="63">
        <v>2013</v>
      </c>
      <c r="I168" s="65">
        <v>2014</v>
      </c>
      <c r="J168" s="63">
        <v>2008</v>
      </c>
      <c r="K168" s="63">
        <v>2009</v>
      </c>
      <c r="L168" s="63">
        <v>2010</v>
      </c>
      <c r="M168" s="63">
        <v>2011</v>
      </c>
      <c r="N168" s="63">
        <v>2012</v>
      </c>
      <c r="O168" s="63">
        <v>2013</v>
      </c>
      <c r="P168" s="63">
        <v>2014</v>
      </c>
      <c r="Q168" s="64">
        <v>2008</v>
      </c>
      <c r="R168" s="63">
        <v>2009</v>
      </c>
      <c r="S168" s="63">
        <v>2010</v>
      </c>
      <c r="T168" s="63">
        <v>2011</v>
      </c>
      <c r="U168" s="63">
        <v>2012</v>
      </c>
      <c r="V168" s="63">
        <v>2013</v>
      </c>
      <c r="W168" s="65">
        <v>2014</v>
      </c>
      <c r="X168" s="63">
        <v>2008</v>
      </c>
      <c r="Y168" s="63">
        <v>2009</v>
      </c>
      <c r="Z168" s="63">
        <v>2010</v>
      </c>
      <c r="AA168" s="63">
        <v>2011</v>
      </c>
      <c r="AB168" s="63">
        <v>2012</v>
      </c>
      <c r="AC168" s="63">
        <v>2013</v>
      </c>
      <c r="AD168" s="65">
        <v>2014</v>
      </c>
    </row>
    <row r="169" spans="2:30" x14ac:dyDescent="0.25">
      <c r="B169" s="4" t="s">
        <v>27</v>
      </c>
      <c r="C169" s="66" t="s">
        <v>270</v>
      </c>
      <c r="D169" s="13" t="s">
        <v>271</v>
      </c>
      <c r="E169" s="13" t="s">
        <v>272</v>
      </c>
      <c r="F169" s="13" t="s">
        <v>213</v>
      </c>
      <c r="G169" s="13" t="s">
        <v>273</v>
      </c>
      <c r="H169" s="13" t="s">
        <v>191</v>
      </c>
      <c r="I169" s="14" t="s">
        <v>274</v>
      </c>
      <c r="J169" s="75">
        <v>1.0813745331078915E-4</v>
      </c>
      <c r="K169" s="75">
        <v>1.7509214209940029E-4</v>
      </c>
      <c r="L169" s="75">
        <v>6.8523983674300605E-5</v>
      </c>
      <c r="M169" s="75">
        <v>1.7285447993926713E-4</v>
      </c>
      <c r="N169" s="75">
        <v>1.1749140056734492E-4</v>
      </c>
      <c r="O169" s="75">
        <v>1.0872306996165428E-4</v>
      </c>
      <c r="P169" s="75">
        <v>1.1019318205284251E-4</v>
      </c>
      <c r="Q169" s="66">
        <v>42.128135972586165</v>
      </c>
      <c r="R169" s="13">
        <v>61.698616433901819</v>
      </c>
      <c r="S169" s="13">
        <v>38.046948091733647</v>
      </c>
      <c r="T169" s="13">
        <v>62.361853082004316</v>
      </c>
      <c r="U169" s="13">
        <v>48.327382639400163</v>
      </c>
      <c r="V169" s="13">
        <v>46.573255367021055</v>
      </c>
      <c r="W169" s="14">
        <v>46.610981864409375</v>
      </c>
      <c r="X169" s="5">
        <v>12</v>
      </c>
      <c r="Y169" s="5">
        <v>9</v>
      </c>
      <c r="Z169" s="5">
        <v>13</v>
      </c>
      <c r="AA169" s="5">
        <v>8</v>
      </c>
      <c r="AB169" s="5">
        <v>12</v>
      </c>
      <c r="AC169" s="5">
        <v>14</v>
      </c>
      <c r="AD169" s="6">
        <v>13</v>
      </c>
    </row>
    <row r="170" spans="2:30" x14ac:dyDescent="0.25">
      <c r="B170" s="4" t="s">
        <v>28</v>
      </c>
      <c r="C170" s="66" t="s">
        <v>275</v>
      </c>
      <c r="D170" s="13" t="s">
        <v>276</v>
      </c>
      <c r="E170" s="13" t="s">
        <v>277</v>
      </c>
      <c r="F170" s="13" t="s">
        <v>278</v>
      </c>
      <c r="G170" s="13" t="s">
        <v>279</v>
      </c>
      <c r="H170" s="13" t="s">
        <v>280</v>
      </c>
      <c r="I170" s="14" t="s">
        <v>281</v>
      </c>
      <c r="J170" s="75">
        <v>1.7846656677913402E-4</v>
      </c>
      <c r="K170" s="75">
        <v>2.7701326554247462E-4</v>
      </c>
      <c r="L170" s="75">
        <v>1.849208605948921E-4</v>
      </c>
      <c r="M170" s="75">
        <v>1.9730766092415408E-4</v>
      </c>
      <c r="N170" s="75">
        <v>1.726280427955721E-4</v>
      </c>
      <c r="O170" s="75">
        <v>1.5462066278381346E-4</v>
      </c>
      <c r="P170" s="75">
        <v>1.5445238752621093E-4</v>
      </c>
      <c r="Q170" s="66">
        <v>53.62104674998703</v>
      </c>
      <c r="R170" s="13">
        <v>83.788094813099235</v>
      </c>
      <c r="S170" s="13">
        <v>62.901766526361165</v>
      </c>
      <c r="T170" s="13">
        <v>68.485788866984194</v>
      </c>
      <c r="U170" s="13">
        <v>58.653275191832378</v>
      </c>
      <c r="V170" s="13">
        <v>56.225848617292691</v>
      </c>
      <c r="W170" s="14">
        <v>56.765191604559476</v>
      </c>
      <c r="X170" s="5">
        <v>11</v>
      </c>
      <c r="Y170" s="5">
        <v>3</v>
      </c>
      <c r="Z170" s="5">
        <v>6</v>
      </c>
      <c r="AA170" s="5">
        <v>6</v>
      </c>
      <c r="AB170" s="5">
        <v>7</v>
      </c>
      <c r="AC170" s="5">
        <v>9</v>
      </c>
      <c r="AD170" s="6">
        <v>10</v>
      </c>
    </row>
    <row r="171" spans="2:30" x14ac:dyDescent="0.25">
      <c r="B171" s="4" t="s">
        <v>29</v>
      </c>
      <c r="C171" s="66" t="s">
        <v>282</v>
      </c>
      <c r="D171" s="13" t="s">
        <v>283</v>
      </c>
      <c r="E171" s="13" t="s">
        <v>284</v>
      </c>
      <c r="F171" s="13" t="s">
        <v>285</v>
      </c>
      <c r="G171" s="13" t="s">
        <v>286</v>
      </c>
      <c r="H171" s="13" t="s">
        <v>273</v>
      </c>
      <c r="I171" s="14" t="s">
        <v>287</v>
      </c>
      <c r="J171" s="75">
        <v>1.0346472721686025E-4</v>
      </c>
      <c r="K171" s="75">
        <v>4.4347864650317085E-5</v>
      </c>
      <c r="L171" s="75">
        <v>3.612199878686661E-5</v>
      </c>
      <c r="M171" s="75">
        <v>2.4935728160665884E-6</v>
      </c>
      <c r="N171" s="75">
        <v>2.1501855756755372E-6</v>
      </c>
      <c r="O171" s="75">
        <v>1.1494790232874277E-4</v>
      </c>
      <c r="P171" s="75">
        <v>4.6086573594696567E-5</v>
      </c>
      <c r="Q171" s="66">
        <v>41.364537209053772</v>
      </c>
      <c r="R171" s="13">
        <v>33.362263847203934</v>
      </c>
      <c r="S171" s="13">
        <v>31.127987097203345</v>
      </c>
      <c r="T171" s="13">
        <v>19.697495584376945</v>
      </c>
      <c r="U171" s="13">
        <v>26.726484493643486</v>
      </c>
      <c r="V171" s="13">
        <v>47.882382299308048</v>
      </c>
      <c r="W171" s="14">
        <v>31.9032630734477</v>
      </c>
      <c r="X171" s="5">
        <v>13</v>
      </c>
      <c r="Y171" s="5">
        <v>14</v>
      </c>
      <c r="Z171" s="5">
        <v>17</v>
      </c>
      <c r="AA171" s="5">
        <v>23</v>
      </c>
      <c r="AB171" s="5">
        <v>22</v>
      </c>
      <c r="AC171" s="5">
        <v>12</v>
      </c>
      <c r="AD171" s="6">
        <v>17</v>
      </c>
    </row>
    <row r="172" spans="2:30" x14ac:dyDescent="0.25">
      <c r="B172" s="4" t="s">
        <v>30</v>
      </c>
      <c r="C172" s="66" t="s">
        <v>269</v>
      </c>
      <c r="D172" s="13" t="s">
        <v>269</v>
      </c>
      <c r="E172" s="13" t="s">
        <v>269</v>
      </c>
      <c r="F172" s="13" t="s">
        <v>269</v>
      </c>
      <c r="G172" s="13" t="s">
        <v>269</v>
      </c>
      <c r="H172" s="13" t="s">
        <v>269</v>
      </c>
      <c r="I172" s="14" t="s">
        <v>269</v>
      </c>
      <c r="J172" s="75" t="s">
        <v>269</v>
      </c>
      <c r="K172" s="75" t="s">
        <v>269</v>
      </c>
      <c r="L172" s="75" t="s">
        <v>269</v>
      </c>
      <c r="M172" s="75" t="s">
        <v>269</v>
      </c>
      <c r="N172" s="75" t="s">
        <v>269</v>
      </c>
      <c r="O172" s="75" t="s">
        <v>269</v>
      </c>
      <c r="P172" s="75" t="s">
        <v>269</v>
      </c>
      <c r="Q172" s="66" t="s">
        <v>269</v>
      </c>
      <c r="R172" s="13" t="s">
        <v>269</v>
      </c>
      <c r="S172" s="13" t="s">
        <v>269</v>
      </c>
      <c r="T172" s="13" t="s">
        <v>269</v>
      </c>
      <c r="U172" s="13" t="s">
        <v>269</v>
      </c>
      <c r="V172" s="13" t="s">
        <v>269</v>
      </c>
      <c r="W172" s="14" t="s">
        <v>269</v>
      </c>
      <c r="X172" s="5" t="s">
        <v>269</v>
      </c>
      <c r="Y172" s="5" t="s">
        <v>269</v>
      </c>
      <c r="Z172" s="5" t="s">
        <v>269</v>
      </c>
      <c r="AA172" s="5" t="s">
        <v>269</v>
      </c>
      <c r="AB172" s="5" t="s">
        <v>269</v>
      </c>
      <c r="AC172" s="5" t="s">
        <v>269</v>
      </c>
      <c r="AD172" s="6" t="s">
        <v>269</v>
      </c>
    </row>
    <row r="173" spans="2:30" x14ac:dyDescent="0.25">
      <c r="B173" s="4" t="s">
        <v>31</v>
      </c>
      <c r="C173" s="66" t="s">
        <v>269</v>
      </c>
      <c r="D173" s="13" t="s">
        <v>269</v>
      </c>
      <c r="E173" s="13" t="s">
        <v>269</v>
      </c>
      <c r="F173" s="13" t="s">
        <v>269</v>
      </c>
      <c r="G173" s="13" t="s">
        <v>269</v>
      </c>
      <c r="H173" s="13" t="s">
        <v>269</v>
      </c>
      <c r="I173" s="14" t="s">
        <v>269</v>
      </c>
      <c r="J173" s="75" t="s">
        <v>269</v>
      </c>
      <c r="K173" s="75" t="s">
        <v>269</v>
      </c>
      <c r="L173" s="75" t="s">
        <v>269</v>
      </c>
      <c r="M173" s="75" t="s">
        <v>269</v>
      </c>
      <c r="N173" s="75" t="s">
        <v>269</v>
      </c>
      <c r="O173" s="75" t="s">
        <v>269</v>
      </c>
      <c r="P173" s="75" t="s">
        <v>269</v>
      </c>
      <c r="Q173" s="66" t="s">
        <v>269</v>
      </c>
      <c r="R173" s="13" t="s">
        <v>269</v>
      </c>
      <c r="S173" s="13" t="s">
        <v>269</v>
      </c>
      <c r="T173" s="13" t="s">
        <v>269</v>
      </c>
      <c r="U173" s="13" t="s">
        <v>269</v>
      </c>
      <c r="V173" s="13" t="s">
        <v>269</v>
      </c>
      <c r="W173" s="14" t="s">
        <v>269</v>
      </c>
      <c r="X173" s="5" t="s">
        <v>269</v>
      </c>
      <c r="Y173" s="5" t="s">
        <v>269</v>
      </c>
      <c r="Z173" s="5" t="s">
        <v>269</v>
      </c>
      <c r="AA173" s="5" t="s">
        <v>269</v>
      </c>
      <c r="AB173" s="5" t="s">
        <v>269</v>
      </c>
      <c r="AC173" s="5" t="s">
        <v>269</v>
      </c>
      <c r="AD173" s="6" t="s">
        <v>269</v>
      </c>
    </row>
    <row r="174" spans="2:30" x14ac:dyDescent="0.25">
      <c r="B174" s="4" t="s">
        <v>32</v>
      </c>
      <c r="C174" s="66" t="s">
        <v>288</v>
      </c>
      <c r="D174" s="13" t="s">
        <v>196</v>
      </c>
      <c r="E174" s="13" t="s">
        <v>289</v>
      </c>
      <c r="F174" s="13" t="s">
        <v>290</v>
      </c>
      <c r="G174" s="13" t="s">
        <v>182</v>
      </c>
      <c r="H174" s="13" t="s">
        <v>195</v>
      </c>
      <c r="I174" s="14" t="s">
        <v>291</v>
      </c>
      <c r="J174" s="75">
        <v>1.7478713853934016E-6</v>
      </c>
      <c r="K174" s="75">
        <v>0</v>
      </c>
      <c r="L174" s="75">
        <v>8.4022735862510442E-5</v>
      </c>
      <c r="M174" s="75">
        <v>1.658183725468141E-5</v>
      </c>
      <c r="N174" s="75">
        <v>7.9299792292289179E-7</v>
      </c>
      <c r="O174" s="75">
        <v>1.2469174664792402E-5</v>
      </c>
      <c r="P174" s="75">
        <v>1.8956602323788427E-5</v>
      </c>
      <c r="Q174" s="66">
        <v>24.7423633897439</v>
      </c>
      <c r="R174" s="13">
        <v>23.750701844515675</v>
      </c>
      <c r="S174" s="13">
        <v>41.356475647735394</v>
      </c>
      <c r="T174" s="13">
        <v>23.225692050808632</v>
      </c>
      <c r="U174" s="13">
        <v>26.472312797481752</v>
      </c>
      <c r="V174" s="13">
        <v>26.33037021932164</v>
      </c>
      <c r="W174" s="14">
        <v>25.678943961013314</v>
      </c>
      <c r="X174" s="5">
        <v>23</v>
      </c>
      <c r="Y174" s="5">
        <v>24</v>
      </c>
      <c r="Z174" s="5">
        <v>12</v>
      </c>
      <c r="AA174" s="5">
        <v>22</v>
      </c>
      <c r="AB174" s="5">
        <v>23</v>
      </c>
      <c r="AC174" s="5">
        <v>22</v>
      </c>
      <c r="AD174" s="6">
        <v>20</v>
      </c>
    </row>
    <row r="175" spans="2:30" x14ac:dyDescent="0.25">
      <c r="B175" s="4" t="s">
        <v>33</v>
      </c>
      <c r="C175" s="66" t="s">
        <v>292</v>
      </c>
      <c r="D175" s="13" t="s">
        <v>252</v>
      </c>
      <c r="E175" s="13" t="s">
        <v>179</v>
      </c>
      <c r="F175" s="13" t="s">
        <v>293</v>
      </c>
      <c r="G175" s="13" t="s">
        <v>294</v>
      </c>
      <c r="H175" s="13" t="s">
        <v>295</v>
      </c>
      <c r="I175" s="14" t="s">
        <v>164</v>
      </c>
      <c r="J175" s="75">
        <v>3.2270750056100019E-4</v>
      </c>
      <c r="K175" s="75">
        <v>2.4878119552606214E-4</v>
      </c>
      <c r="L175" s="75">
        <v>1.8397876090658666E-4</v>
      </c>
      <c r="M175" s="75">
        <v>2.2193386804901112E-4</v>
      </c>
      <c r="N175" s="75">
        <v>1.9863624981258956E-4</v>
      </c>
      <c r="O175" s="75">
        <v>2.0347894293839343E-4</v>
      </c>
      <c r="P175" s="75">
        <v>2.1571961695126074E-4</v>
      </c>
      <c r="Q175" s="66">
        <v>77.192340353028484</v>
      </c>
      <c r="R175" s="13">
        <v>77.66932689571216</v>
      </c>
      <c r="S175" s="13">
        <v>62.700595177785161</v>
      </c>
      <c r="T175" s="13">
        <v>74.653056477420833</v>
      </c>
      <c r="U175" s="13">
        <v>63.524046067350945</v>
      </c>
      <c r="V175" s="13">
        <v>66.501095667118108</v>
      </c>
      <c r="W175" s="14">
        <v>70.821483196919687</v>
      </c>
      <c r="X175" s="5">
        <v>3</v>
      </c>
      <c r="Y175" s="5">
        <v>5</v>
      </c>
      <c r="Z175" s="5">
        <v>7</v>
      </c>
      <c r="AA175" s="5">
        <v>5</v>
      </c>
      <c r="AB175" s="5">
        <v>5</v>
      </c>
      <c r="AC175" s="5">
        <v>5</v>
      </c>
      <c r="AD175" s="6">
        <v>6</v>
      </c>
    </row>
    <row r="176" spans="2:30" x14ac:dyDescent="0.25">
      <c r="B176" s="4" t="s">
        <v>34</v>
      </c>
      <c r="C176" s="66" t="s">
        <v>296</v>
      </c>
      <c r="D176" s="13" t="s">
        <v>144</v>
      </c>
      <c r="E176" s="13" t="s">
        <v>231</v>
      </c>
      <c r="F176" s="13" t="s">
        <v>297</v>
      </c>
      <c r="G176" s="13" t="s">
        <v>298</v>
      </c>
      <c r="H176" s="13" t="s">
        <v>279</v>
      </c>
      <c r="I176" s="14" t="s">
        <v>299</v>
      </c>
      <c r="J176" s="75">
        <v>6.65968408880386E-5</v>
      </c>
      <c r="K176" s="75">
        <v>1.9393181063064209E-4</v>
      </c>
      <c r="L176" s="75">
        <v>3.4525393212623574E-4</v>
      </c>
      <c r="M176" s="75">
        <v>7.9735534810050651E-5</v>
      </c>
      <c r="N176" s="75">
        <v>1.7137952961374179E-4</v>
      </c>
      <c r="O176" s="75">
        <v>1.6947419101286337E-4</v>
      </c>
      <c r="P176" s="75">
        <v>1.694034894766241E-4</v>
      </c>
      <c r="Q176" s="66">
        <v>35.339730308576911</v>
      </c>
      <c r="R176" s="13">
        <v>65.781758736827342</v>
      </c>
      <c r="S176" s="13">
        <v>97.138504550667278</v>
      </c>
      <c r="T176" s="13">
        <v>39.041597092044299</v>
      </c>
      <c r="U176" s="13">
        <v>58.419455857812892</v>
      </c>
      <c r="V176" s="13">
        <v>59.34965223117689</v>
      </c>
      <c r="W176" s="14">
        <v>60.19536219680414</v>
      </c>
      <c r="X176" s="5">
        <v>17</v>
      </c>
      <c r="Y176" s="5">
        <v>7</v>
      </c>
      <c r="Z176" s="5">
        <v>3</v>
      </c>
      <c r="AA176" s="5">
        <v>14</v>
      </c>
      <c r="AB176" s="5">
        <v>8</v>
      </c>
      <c r="AC176" s="5">
        <v>7</v>
      </c>
      <c r="AD176" s="6">
        <v>9</v>
      </c>
    </row>
    <row r="177" spans="2:30" ht="14.25" customHeight="1" x14ac:dyDescent="0.25">
      <c r="B177" s="4" t="s">
        <v>35</v>
      </c>
      <c r="C177" s="66" t="s">
        <v>300</v>
      </c>
      <c r="D177" s="13" t="s">
        <v>301</v>
      </c>
      <c r="E177" s="13" t="s">
        <v>147</v>
      </c>
      <c r="F177" s="13" t="s">
        <v>257</v>
      </c>
      <c r="G177" s="13" t="s">
        <v>186</v>
      </c>
      <c r="H177" s="13" t="s">
        <v>302</v>
      </c>
      <c r="I177" s="14" t="s">
        <v>147</v>
      </c>
      <c r="J177" s="75">
        <v>3.774099560685763E-4</v>
      </c>
      <c r="K177" s="75">
        <v>3.2935684337868519E-4</v>
      </c>
      <c r="L177" s="75">
        <v>3.6050625334045963E-4</v>
      </c>
      <c r="M177" s="75">
        <v>2.7997810726930093E-4</v>
      </c>
      <c r="N177" s="75">
        <v>3.2731161752413751E-4</v>
      </c>
      <c r="O177" s="75">
        <v>3.5809926853208249E-4</v>
      </c>
      <c r="P177" s="75">
        <v>4.1734908226028134E-4</v>
      </c>
      <c r="Q177" s="66">
        <v>86.13160333316381</v>
      </c>
      <c r="R177" s="13">
        <v>95.132576622589923</v>
      </c>
      <c r="S177" s="13">
        <v>100</v>
      </c>
      <c r="T177" s="13">
        <v>89.189373609034632</v>
      </c>
      <c r="U177" s="13">
        <v>87.622140681714825</v>
      </c>
      <c r="V177" s="13">
        <v>99.018860094621544</v>
      </c>
      <c r="W177" s="14">
        <v>100</v>
      </c>
      <c r="X177" s="5">
        <v>2</v>
      </c>
      <c r="Y177" s="5">
        <v>2</v>
      </c>
      <c r="Z177" s="5">
        <v>1</v>
      </c>
      <c r="AA177" s="5">
        <v>4</v>
      </c>
      <c r="AB177" s="5">
        <v>3</v>
      </c>
      <c r="AC177" s="5">
        <v>2</v>
      </c>
      <c r="AD177" s="6">
        <v>1</v>
      </c>
    </row>
    <row r="178" spans="2:30" x14ac:dyDescent="0.25">
      <c r="B178" s="4" t="s">
        <v>36</v>
      </c>
      <c r="C178" s="66" t="s">
        <v>141</v>
      </c>
      <c r="D178" s="13" t="s">
        <v>303</v>
      </c>
      <c r="E178" s="13" t="s">
        <v>142</v>
      </c>
      <c r="F178" s="13" t="s">
        <v>212</v>
      </c>
      <c r="G178" s="13" t="s">
        <v>304</v>
      </c>
      <c r="H178" s="13" t="s">
        <v>305</v>
      </c>
      <c r="I178" s="14" t="s">
        <v>199</v>
      </c>
      <c r="J178" s="75">
        <v>2.2473928902472625E-4</v>
      </c>
      <c r="K178" s="75">
        <v>1.5553466008807557E-4</v>
      </c>
      <c r="L178" s="75">
        <v>1.5721745665833199E-4</v>
      </c>
      <c r="M178" s="75">
        <v>1.2617713244020737E-4</v>
      </c>
      <c r="N178" s="75">
        <v>1.3000588903599501E-4</v>
      </c>
      <c r="O178" s="75">
        <v>1.3309551088674338E-4</v>
      </c>
      <c r="P178" s="75">
        <v>1.4017325619510712E-4</v>
      </c>
      <c r="Q178" s="66">
        <v>61.182755436040786</v>
      </c>
      <c r="R178" s="13">
        <v>57.459901617517438</v>
      </c>
      <c r="S178" s="13">
        <v>56.986117472185086</v>
      </c>
      <c r="T178" s="13">
        <v>50.672205061401222</v>
      </c>
      <c r="U178" s="13">
        <v>50.671073840997799</v>
      </c>
      <c r="V178" s="13">
        <v>51.698954653206236</v>
      </c>
      <c r="W178" s="14">
        <v>53.48918850209931</v>
      </c>
      <c r="X178" s="5">
        <v>8</v>
      </c>
      <c r="Y178" s="5">
        <v>12</v>
      </c>
      <c r="Z178" s="5">
        <v>11</v>
      </c>
      <c r="AA178" s="5">
        <v>12</v>
      </c>
      <c r="AB178" s="5">
        <v>11</v>
      </c>
      <c r="AC178" s="5">
        <v>11</v>
      </c>
      <c r="AD178" s="6">
        <v>12</v>
      </c>
    </row>
    <row r="179" spans="2:30" x14ac:dyDescent="0.25">
      <c r="B179" s="4" t="s">
        <v>37</v>
      </c>
      <c r="C179" s="66" t="s">
        <v>201</v>
      </c>
      <c r="D179" s="13" t="s">
        <v>306</v>
      </c>
      <c r="E179" s="13" t="s">
        <v>169</v>
      </c>
      <c r="F179" s="13" t="s">
        <v>299</v>
      </c>
      <c r="G179" s="13" t="s">
        <v>307</v>
      </c>
      <c r="H179" s="13" t="s">
        <v>201</v>
      </c>
      <c r="I179" s="14" t="s">
        <v>275</v>
      </c>
      <c r="J179" s="75">
        <v>1.9127626144729756E-4</v>
      </c>
      <c r="K179" s="75">
        <v>1.6328607312988765E-4</v>
      </c>
      <c r="L179" s="75">
        <v>1.6880363247366342E-4</v>
      </c>
      <c r="M179" s="75">
        <v>1.6334069889609049E-4</v>
      </c>
      <c r="N179" s="75">
        <v>1.3315805521877701E-4</v>
      </c>
      <c r="O179" s="75">
        <v>1.5124623690983472E-4</v>
      </c>
      <c r="P179" s="75">
        <v>1.4332648980501774E-4</v>
      </c>
      <c r="Q179" s="66">
        <v>55.714357338541731</v>
      </c>
      <c r="R179" s="13">
        <v>59.139873982529394</v>
      </c>
      <c r="S179" s="13">
        <v>59.46017265184593</v>
      </c>
      <c r="T179" s="13">
        <v>59.979268001691828</v>
      </c>
      <c r="U179" s="13">
        <v>51.261405932242809</v>
      </c>
      <c r="V179" s="13">
        <v>55.516182632391988</v>
      </c>
      <c r="W179" s="14">
        <v>54.21262208144789</v>
      </c>
      <c r="X179" s="5">
        <v>10</v>
      </c>
      <c r="Y179" s="5">
        <v>11</v>
      </c>
      <c r="Z179" s="5">
        <v>9</v>
      </c>
      <c r="AA179" s="5">
        <v>9</v>
      </c>
      <c r="AB179" s="5">
        <v>10</v>
      </c>
      <c r="AC179" s="5">
        <v>10</v>
      </c>
      <c r="AD179" s="6">
        <v>11</v>
      </c>
    </row>
    <row r="180" spans="2:30" x14ac:dyDescent="0.25">
      <c r="B180" s="4" t="s">
        <v>38</v>
      </c>
      <c r="C180" s="66" t="s">
        <v>308</v>
      </c>
      <c r="D180" s="13" t="s">
        <v>309</v>
      </c>
      <c r="E180" s="13" t="s">
        <v>194</v>
      </c>
      <c r="F180" s="13" t="s">
        <v>310</v>
      </c>
      <c r="G180" s="13" t="s">
        <v>173</v>
      </c>
      <c r="H180" s="13" t="s">
        <v>196</v>
      </c>
      <c r="I180" s="14" t="s">
        <v>207</v>
      </c>
      <c r="J180" s="75">
        <v>7.1046167203850046E-5</v>
      </c>
      <c r="K180" s="75">
        <v>1.7478762250927638E-5</v>
      </c>
      <c r="L180" s="75">
        <v>2.2103394374067238E-5</v>
      </c>
      <c r="M180" s="75">
        <v>4.592015764958106E-5</v>
      </c>
      <c r="N180" s="75">
        <v>0</v>
      </c>
      <c r="O180" s="75">
        <v>0</v>
      </c>
      <c r="P180" s="75">
        <v>1.1076018284504295E-6</v>
      </c>
      <c r="Q180" s="66">
        <v>36.066821947378514</v>
      </c>
      <c r="R180" s="13">
        <v>27.538893416527177</v>
      </c>
      <c r="S180" s="13">
        <v>28.134523040391045</v>
      </c>
      <c r="T180" s="13">
        <v>30.57303840417557</v>
      </c>
      <c r="U180" s="13">
        <v>26.323801553135215</v>
      </c>
      <c r="V180" s="13">
        <v>23.708013276285534</v>
      </c>
      <c r="W180" s="14">
        <v>21.583920276262308</v>
      </c>
      <c r="X180" s="5">
        <v>16</v>
      </c>
      <c r="Y180" s="5">
        <v>19</v>
      </c>
      <c r="Z180" s="5">
        <v>21</v>
      </c>
      <c r="AA180" s="5">
        <v>19</v>
      </c>
      <c r="AB180" s="5">
        <v>24</v>
      </c>
      <c r="AC180" s="5">
        <v>24</v>
      </c>
      <c r="AD180" s="6">
        <v>25</v>
      </c>
    </row>
    <row r="181" spans="2:30" x14ac:dyDescent="0.25">
      <c r="B181" s="4" t="s">
        <v>39</v>
      </c>
      <c r="C181" s="66" t="s">
        <v>194</v>
      </c>
      <c r="D181" s="13" t="s">
        <v>291</v>
      </c>
      <c r="E181" s="13" t="s">
        <v>311</v>
      </c>
      <c r="F181" s="13" t="s">
        <v>312</v>
      </c>
      <c r="G181" s="13" t="s">
        <v>147</v>
      </c>
      <c r="H181" s="13" t="s">
        <v>313</v>
      </c>
      <c r="I181" s="14" t="s">
        <v>247</v>
      </c>
      <c r="J181" s="75">
        <v>1.8822380940381765E-5</v>
      </c>
      <c r="K181" s="75">
        <v>1.1658671738867344E-5</v>
      </c>
      <c r="L181" s="75">
        <v>6.7617068173732406E-5</v>
      </c>
      <c r="M181" s="75">
        <v>3.1991113183837917E-4</v>
      </c>
      <c r="N181" s="75">
        <v>5.7421463554996278E-4</v>
      </c>
      <c r="O181" s="75">
        <v>8.3755849865471739E-5</v>
      </c>
      <c r="P181" s="75">
        <v>2.293184713684343E-4</v>
      </c>
      <c r="Q181" s="66">
        <v>27.532613475459623</v>
      </c>
      <c r="R181" s="13">
        <v>26.277498730243781</v>
      </c>
      <c r="S181" s="13">
        <v>37.853289802108321</v>
      </c>
      <c r="T181" s="13">
        <v>99.190006177541733</v>
      </c>
      <c r="U181" s="13">
        <v>100</v>
      </c>
      <c r="V181" s="13">
        <v>41.322469751482096</v>
      </c>
      <c r="W181" s="14">
        <v>73.941413130158907</v>
      </c>
      <c r="X181" s="5">
        <v>21</v>
      </c>
      <c r="Y181" s="5">
        <v>20</v>
      </c>
      <c r="Z181" s="5">
        <v>14</v>
      </c>
      <c r="AA181" s="5">
        <v>1</v>
      </c>
      <c r="AB181" s="5">
        <v>1</v>
      </c>
      <c r="AC181" s="5">
        <v>15</v>
      </c>
      <c r="AD181" s="6">
        <v>5</v>
      </c>
    </row>
    <row r="182" spans="2:30" x14ac:dyDescent="0.25">
      <c r="B182" s="4" t="s">
        <v>40</v>
      </c>
      <c r="C182" s="66" t="s">
        <v>214</v>
      </c>
      <c r="D182" s="13" t="s">
        <v>176</v>
      </c>
      <c r="E182" s="13" t="s">
        <v>314</v>
      </c>
      <c r="F182" s="13" t="s">
        <v>188</v>
      </c>
      <c r="G182" s="13" t="s">
        <v>146</v>
      </c>
      <c r="H182" s="13" t="s">
        <v>147</v>
      </c>
      <c r="I182" s="14" t="s">
        <v>315</v>
      </c>
      <c r="J182" s="75">
        <v>2.5862170640369623E-4</v>
      </c>
      <c r="K182" s="75">
        <v>2.7604744399633581E-4</v>
      </c>
      <c r="L182" s="75">
        <v>2.0877883978744717E-4</v>
      </c>
      <c r="M182" s="75">
        <v>2.8196194742470136E-4</v>
      </c>
      <c r="N182" s="75">
        <v>3.3145616298717198E-4</v>
      </c>
      <c r="O182" s="75">
        <v>5.1661249730392759E-4</v>
      </c>
      <c r="P182" s="75">
        <v>2.4831464249559223E-4</v>
      </c>
      <c r="Q182" s="66">
        <v>66.719688587266006</v>
      </c>
      <c r="R182" s="13">
        <v>83.578771235798683</v>
      </c>
      <c r="S182" s="13">
        <v>67.996282433799351</v>
      </c>
      <c r="T182" s="13">
        <v>89.686196894595938</v>
      </c>
      <c r="U182" s="13">
        <v>88.39832380423465</v>
      </c>
      <c r="V182" s="13">
        <v>100</v>
      </c>
      <c r="W182" s="14">
        <v>78.299627513401987</v>
      </c>
      <c r="X182" s="5">
        <v>6</v>
      </c>
      <c r="Y182" s="5">
        <v>4</v>
      </c>
      <c r="Z182" s="5">
        <v>5</v>
      </c>
      <c r="AA182" s="5">
        <v>3</v>
      </c>
      <c r="AB182" s="5">
        <v>2</v>
      </c>
      <c r="AC182" s="5">
        <v>1</v>
      </c>
      <c r="AD182" s="6">
        <v>4</v>
      </c>
    </row>
    <row r="183" spans="2:30" x14ac:dyDescent="0.25">
      <c r="B183" s="4" t="s">
        <v>41</v>
      </c>
      <c r="C183" s="66" t="s">
        <v>316</v>
      </c>
      <c r="D183" s="13" t="s">
        <v>317</v>
      </c>
      <c r="E183" s="13" t="s">
        <v>318</v>
      </c>
      <c r="F183" s="13" t="s">
        <v>319</v>
      </c>
      <c r="G183" s="13" t="s">
        <v>320</v>
      </c>
      <c r="H183" s="13" t="s">
        <v>309</v>
      </c>
      <c r="I183" s="14" t="s">
        <v>321</v>
      </c>
      <c r="J183" s="75">
        <v>2.4072261612139235E-5</v>
      </c>
      <c r="K183" s="75">
        <v>2.8649244678837185E-5</v>
      </c>
      <c r="L183" s="75">
        <v>3.3985763417995351E-5</v>
      </c>
      <c r="M183" s="75">
        <v>2.6038496457257141E-5</v>
      </c>
      <c r="N183" s="75">
        <v>3.6880514722271478E-5</v>
      </c>
      <c r="O183" s="75">
        <v>2.1522742193013294E-5</v>
      </c>
      <c r="P183" s="75">
        <v>1.5825987951395746E-5</v>
      </c>
      <c r="Q183" s="66">
        <v>28.390528600177742</v>
      </c>
      <c r="R183" s="13">
        <v>29.959884490220841</v>
      </c>
      <c r="S183" s="13">
        <v>30.671825869929631</v>
      </c>
      <c r="T183" s="13">
        <v>25.593971815016189</v>
      </c>
      <c r="U183" s="13">
        <v>33.23071892986308</v>
      </c>
      <c r="V183" s="13">
        <v>28.234400462310585</v>
      </c>
      <c r="W183" s="14">
        <v>24.960699821453879</v>
      </c>
      <c r="X183" s="5">
        <v>20</v>
      </c>
      <c r="Y183" s="5">
        <v>18</v>
      </c>
      <c r="Z183" s="5">
        <v>18</v>
      </c>
      <c r="AA183" s="5">
        <v>21</v>
      </c>
      <c r="AB183" s="5">
        <v>17</v>
      </c>
      <c r="AC183" s="5">
        <v>19</v>
      </c>
      <c r="AD183" s="6">
        <v>21</v>
      </c>
    </row>
    <row r="184" spans="2:30" x14ac:dyDescent="0.25">
      <c r="B184" s="4" t="s">
        <v>42</v>
      </c>
      <c r="C184" s="66" t="s">
        <v>280</v>
      </c>
      <c r="D184" s="13" t="s">
        <v>196</v>
      </c>
      <c r="E184" s="13" t="s">
        <v>316</v>
      </c>
      <c r="F184" s="13" t="s">
        <v>322</v>
      </c>
      <c r="G184" s="13" t="s">
        <v>323</v>
      </c>
      <c r="H184" s="13" t="s">
        <v>324</v>
      </c>
      <c r="I184" s="14" t="s">
        <v>325</v>
      </c>
      <c r="J184" s="75">
        <v>1.9290994623655914E-4</v>
      </c>
      <c r="K184" s="75">
        <v>0</v>
      </c>
      <c r="L184" s="75">
        <v>2.2562739035586812E-5</v>
      </c>
      <c r="M184" s="75">
        <v>1.213051443283656E-4</v>
      </c>
      <c r="N184" s="75">
        <v>8.4194457400127892E-5</v>
      </c>
      <c r="O184" s="75">
        <v>8.3258412412572891E-5</v>
      </c>
      <c r="P184" s="75">
        <v>8.3223678524024848E-5</v>
      </c>
      <c r="Q184" s="66">
        <v>55.981327766511527</v>
      </c>
      <c r="R184" s="13">
        <v>23.750701844515675</v>
      </c>
      <c r="S184" s="13">
        <v>28.232609247366966</v>
      </c>
      <c r="T184" s="13">
        <v>49.452088040202874</v>
      </c>
      <c r="U184" s="13">
        <v>42.091590186788565</v>
      </c>
      <c r="V184" s="13">
        <v>41.217855084240426</v>
      </c>
      <c r="W184" s="14">
        <v>40.423478214256505</v>
      </c>
      <c r="X184" s="5">
        <v>9</v>
      </c>
      <c r="Y184" s="5">
        <v>24</v>
      </c>
      <c r="Z184" s="5">
        <v>20</v>
      </c>
      <c r="AA184" s="5">
        <v>13</v>
      </c>
      <c r="AB184" s="5">
        <v>14</v>
      </c>
      <c r="AC184" s="5">
        <v>16</v>
      </c>
      <c r="AD184" s="6">
        <v>14</v>
      </c>
    </row>
    <row r="185" spans="2:30" x14ac:dyDescent="0.25">
      <c r="B185" s="4" t="s">
        <v>43</v>
      </c>
      <c r="C185" s="66" t="s">
        <v>196</v>
      </c>
      <c r="D185" s="13" t="s">
        <v>321</v>
      </c>
      <c r="E185" s="13" t="s">
        <v>196</v>
      </c>
      <c r="F185" s="13" t="s">
        <v>318</v>
      </c>
      <c r="G185" s="13" t="s">
        <v>205</v>
      </c>
      <c r="H185" s="13" t="s">
        <v>326</v>
      </c>
      <c r="I185" s="14" t="s">
        <v>327</v>
      </c>
      <c r="J185" s="75">
        <v>0</v>
      </c>
      <c r="K185" s="75">
        <v>5.3763161412002315E-6</v>
      </c>
      <c r="L185" s="75">
        <v>3.7176845360751109E-6</v>
      </c>
      <c r="M185" s="75">
        <v>4.6275998246248473E-5</v>
      </c>
      <c r="N185" s="75">
        <v>1.3842499730880955E-5</v>
      </c>
      <c r="O185" s="75">
        <v>1.3688603585119905E-5</v>
      </c>
      <c r="P185" s="75">
        <v>1.3682892949791575E-5</v>
      </c>
      <c r="Q185" s="66">
        <v>24.456733031389678</v>
      </c>
      <c r="R185" s="13">
        <v>24.915916818103589</v>
      </c>
      <c r="S185" s="13">
        <v>24.208528701841935</v>
      </c>
      <c r="T185" s="13">
        <v>30.662153393551677</v>
      </c>
      <c r="U185" s="13">
        <v>28.916200348232177</v>
      </c>
      <c r="V185" s="13">
        <v>26.586824875040676</v>
      </c>
      <c r="W185" s="14">
        <v>24.469018240038004</v>
      </c>
      <c r="X185" s="5">
        <v>24</v>
      </c>
      <c r="Y185" s="5">
        <v>21</v>
      </c>
      <c r="Z185" s="5">
        <v>24</v>
      </c>
      <c r="AA185" s="5">
        <v>18</v>
      </c>
      <c r="AB185" s="5">
        <v>20</v>
      </c>
      <c r="AC185" s="5">
        <v>21</v>
      </c>
      <c r="AD185" s="6">
        <v>22</v>
      </c>
    </row>
    <row r="186" spans="2:30" x14ac:dyDescent="0.25">
      <c r="B186" s="4" t="s">
        <v>44</v>
      </c>
      <c r="C186" s="66" t="s">
        <v>328</v>
      </c>
      <c r="D186" s="13" t="s">
        <v>329</v>
      </c>
      <c r="E186" s="13" t="s">
        <v>330</v>
      </c>
      <c r="F186" s="13" t="s">
        <v>305</v>
      </c>
      <c r="G186" s="13" t="s">
        <v>331</v>
      </c>
      <c r="H186" s="13" t="s">
        <v>332</v>
      </c>
      <c r="I186" s="14" t="s">
        <v>333</v>
      </c>
      <c r="J186" s="75">
        <v>8.1014890802552105E-5</v>
      </c>
      <c r="K186" s="75">
        <v>3.1460066945698985E-5</v>
      </c>
      <c r="L186" s="75">
        <v>5.2649555350343447E-5</v>
      </c>
      <c r="M186" s="75">
        <v>1.3010756253167434E-4</v>
      </c>
      <c r="N186" s="75">
        <v>6.8942157373632102E-5</v>
      </c>
      <c r="O186" s="75">
        <v>1.1408195563884937E-4</v>
      </c>
      <c r="P186" s="75">
        <v>6.4537926653354455E-5</v>
      </c>
      <c r="Q186" s="66">
        <v>37.69587206950213</v>
      </c>
      <c r="R186" s="13">
        <v>30.569077124623941</v>
      </c>
      <c r="S186" s="13">
        <v>34.657200495544807</v>
      </c>
      <c r="T186" s="13">
        <v>51.656522868657973</v>
      </c>
      <c r="U186" s="13">
        <v>39.235166493101509</v>
      </c>
      <c r="V186" s="13">
        <v>47.700267494151547</v>
      </c>
      <c r="W186" s="14">
        <v>36.136482060171481</v>
      </c>
      <c r="X186" s="5">
        <v>15</v>
      </c>
      <c r="Y186" s="5">
        <v>16</v>
      </c>
      <c r="Z186" s="5">
        <v>15</v>
      </c>
      <c r="AA186" s="5">
        <v>11</v>
      </c>
      <c r="AB186" s="5">
        <v>15</v>
      </c>
      <c r="AC186" s="5">
        <v>13</v>
      </c>
      <c r="AD186" s="6">
        <v>15</v>
      </c>
    </row>
    <row r="187" spans="2:30" x14ac:dyDescent="0.25">
      <c r="B187" s="4" t="s">
        <v>18</v>
      </c>
      <c r="C187" s="66" t="s">
        <v>269</v>
      </c>
      <c r="D187" s="13" t="s">
        <v>269</v>
      </c>
      <c r="E187" s="13" t="s">
        <v>269</v>
      </c>
      <c r="F187" s="13" t="s">
        <v>269</v>
      </c>
      <c r="G187" s="13" t="s">
        <v>269</v>
      </c>
      <c r="H187" s="13" t="s">
        <v>269</v>
      </c>
      <c r="I187" s="14" t="s">
        <v>269</v>
      </c>
      <c r="J187" s="75" t="s">
        <v>269</v>
      </c>
      <c r="K187" s="75" t="s">
        <v>269</v>
      </c>
      <c r="L187" s="75" t="s">
        <v>269</v>
      </c>
      <c r="M187" s="75" t="s">
        <v>269</v>
      </c>
      <c r="N187" s="75" t="s">
        <v>269</v>
      </c>
      <c r="O187" s="75" t="s">
        <v>269</v>
      </c>
      <c r="P187" s="75" t="s">
        <v>269</v>
      </c>
      <c r="Q187" s="66" t="s">
        <v>269</v>
      </c>
      <c r="R187" s="13" t="s">
        <v>269</v>
      </c>
      <c r="S187" s="13" t="s">
        <v>269</v>
      </c>
      <c r="T187" s="13" t="s">
        <v>269</v>
      </c>
      <c r="U187" s="13" t="s">
        <v>269</v>
      </c>
      <c r="V187" s="13" t="s">
        <v>269</v>
      </c>
      <c r="W187" s="14" t="s">
        <v>269</v>
      </c>
      <c r="X187" s="5" t="s">
        <v>269</v>
      </c>
      <c r="Y187" s="5" t="s">
        <v>269</v>
      </c>
      <c r="Z187" s="5" t="s">
        <v>269</v>
      </c>
      <c r="AA187" s="5" t="s">
        <v>269</v>
      </c>
      <c r="AB187" s="5" t="s">
        <v>269</v>
      </c>
      <c r="AC187" s="5" t="s">
        <v>269</v>
      </c>
      <c r="AD187" s="6" t="s">
        <v>269</v>
      </c>
    </row>
    <row r="188" spans="2:30" x14ac:dyDescent="0.25">
      <c r="B188" s="4" t="s">
        <v>45</v>
      </c>
      <c r="C188" s="66" t="s">
        <v>334</v>
      </c>
      <c r="D188" s="13" t="s">
        <v>216</v>
      </c>
      <c r="E188" s="13" t="s">
        <v>215</v>
      </c>
      <c r="F188" s="13" t="s">
        <v>179</v>
      </c>
      <c r="G188" s="13" t="s">
        <v>335</v>
      </c>
      <c r="H188" s="13" t="s">
        <v>336</v>
      </c>
      <c r="I188" s="14" t="s">
        <v>117</v>
      </c>
      <c r="J188" s="75">
        <v>2.7259357941557938E-4</v>
      </c>
      <c r="K188" s="75">
        <v>1.7989563429089616E-4</v>
      </c>
      <c r="L188" s="75">
        <v>1.6044121093502576E-4</v>
      </c>
      <c r="M188" s="75">
        <v>1.7469473301095457E-4</v>
      </c>
      <c r="N188" s="75">
        <v>1.3644039345034754E-4</v>
      </c>
      <c r="O188" s="75">
        <v>2.0559742001699296E-4</v>
      </c>
      <c r="P188" s="75">
        <v>1.8777773586613758E-4</v>
      </c>
      <c r="Q188" s="66">
        <v>69.002917850365193</v>
      </c>
      <c r="R188" s="13">
        <v>62.739682636119994</v>
      </c>
      <c r="S188" s="13">
        <v>57.674502155218647</v>
      </c>
      <c r="T188" s="13">
        <v>62.822717116261899</v>
      </c>
      <c r="U188" s="13">
        <v>51.876116413879402</v>
      </c>
      <c r="V188" s="13">
        <v>66.946626604415371</v>
      </c>
      <c r="W188" s="14">
        <v>64.410890913617237</v>
      </c>
      <c r="X188" s="5">
        <v>5</v>
      </c>
      <c r="Y188" s="5">
        <v>8</v>
      </c>
      <c r="Z188" s="5">
        <v>10</v>
      </c>
      <c r="AA188" s="5">
        <v>7</v>
      </c>
      <c r="AB188" s="5">
        <v>9</v>
      </c>
      <c r="AC188" s="5">
        <v>4</v>
      </c>
      <c r="AD188" s="6">
        <v>7</v>
      </c>
    </row>
    <row r="189" spans="2:30" x14ac:dyDescent="0.25">
      <c r="B189" s="4" t="s">
        <v>46</v>
      </c>
      <c r="C189" s="66" t="s">
        <v>318</v>
      </c>
      <c r="D189" s="13" t="s">
        <v>337</v>
      </c>
      <c r="E189" s="13" t="s">
        <v>288</v>
      </c>
      <c r="F189" s="13" t="s">
        <v>291</v>
      </c>
      <c r="G189" s="13" t="s">
        <v>338</v>
      </c>
      <c r="H189" s="13" t="s">
        <v>339</v>
      </c>
      <c r="I189" s="14" t="s">
        <v>340</v>
      </c>
      <c r="J189" s="75">
        <v>4.0573089632485529E-5</v>
      </c>
      <c r="K189" s="75">
        <v>1.6460992966397979E-6</v>
      </c>
      <c r="L189" s="75">
        <v>5.6673966694088093E-6</v>
      </c>
      <c r="M189" s="75">
        <v>2.9654261844143713E-5</v>
      </c>
      <c r="N189" s="75">
        <v>1.4564049149629167E-5</v>
      </c>
      <c r="O189" s="75">
        <v>1.6421361157148933E-5</v>
      </c>
      <c r="P189" s="75">
        <v>2.7937770296748825E-5</v>
      </c>
      <c r="Q189" s="66">
        <v>31.087029875946477</v>
      </c>
      <c r="R189" s="13">
        <v>24.107462774878119</v>
      </c>
      <c r="S189" s="13">
        <v>24.624860671872884</v>
      </c>
      <c r="T189" s="13">
        <v>26.49948652316526</v>
      </c>
      <c r="U189" s="13">
        <v>29.051330843455727</v>
      </c>
      <c r="V189" s="13">
        <v>27.161543409770907</v>
      </c>
      <c r="W189" s="14">
        <v>27.73945684943001</v>
      </c>
      <c r="X189" s="5">
        <v>18</v>
      </c>
      <c r="Y189" s="5">
        <v>23</v>
      </c>
      <c r="Z189" s="5">
        <v>23</v>
      </c>
      <c r="AA189" s="5">
        <v>20</v>
      </c>
      <c r="AB189" s="5">
        <v>19</v>
      </c>
      <c r="AC189" s="5">
        <v>20</v>
      </c>
      <c r="AD189" s="6">
        <v>18</v>
      </c>
    </row>
    <row r="190" spans="2:30" x14ac:dyDescent="0.25">
      <c r="B190" s="4" t="s">
        <v>47</v>
      </c>
      <c r="C190" s="66" t="s">
        <v>144</v>
      </c>
      <c r="D190" s="13" t="s">
        <v>341</v>
      </c>
      <c r="E190" s="13" t="s">
        <v>246</v>
      </c>
      <c r="F190" s="13" t="s">
        <v>342</v>
      </c>
      <c r="G190" s="13" t="s">
        <v>343</v>
      </c>
      <c r="H190" s="13" t="s">
        <v>344</v>
      </c>
      <c r="I190" s="14" t="s">
        <v>345</v>
      </c>
      <c r="J190" s="75">
        <v>2.5432816429123297E-4</v>
      </c>
      <c r="K190" s="75">
        <v>1.6468387820450708E-4</v>
      </c>
      <c r="L190" s="75">
        <v>2.9573472543180731E-4</v>
      </c>
      <c r="M190" s="75">
        <v>5.1376935241981167E-5</v>
      </c>
      <c r="N190" s="75">
        <v>9.6530778275276432E-5</v>
      </c>
      <c r="O190" s="75">
        <v>1.9205896989814923E-4</v>
      </c>
      <c r="P190" s="75">
        <v>2.6271489290388949E-4</v>
      </c>
      <c r="Q190" s="66">
        <v>66.018054598380814</v>
      </c>
      <c r="R190" s="13">
        <v>59.442821830149853</v>
      </c>
      <c r="S190" s="13">
        <v>86.564415932666947</v>
      </c>
      <c r="T190" s="13">
        <v>31.939607260367669</v>
      </c>
      <c r="U190" s="13">
        <v>44.401914477517614</v>
      </c>
      <c r="V190" s="13">
        <v>64.099393357507537</v>
      </c>
      <c r="W190" s="14">
        <v>81.603418473782369</v>
      </c>
      <c r="X190" s="5">
        <v>7</v>
      </c>
      <c r="Y190" s="5">
        <v>10</v>
      </c>
      <c r="Z190" s="5">
        <v>4</v>
      </c>
      <c r="AA190" s="5">
        <v>16</v>
      </c>
      <c r="AB190" s="5">
        <v>13</v>
      </c>
      <c r="AC190" s="5">
        <v>6</v>
      </c>
      <c r="AD190" s="6">
        <v>3</v>
      </c>
    </row>
    <row r="191" spans="2:30" x14ac:dyDescent="0.25">
      <c r="B191" s="4" t="s">
        <v>48</v>
      </c>
      <c r="C191" s="66" t="s">
        <v>310</v>
      </c>
      <c r="D191" s="13" t="s">
        <v>346</v>
      </c>
      <c r="E191" s="13" t="s">
        <v>286</v>
      </c>
      <c r="F191" s="13" t="s">
        <v>347</v>
      </c>
      <c r="G191" s="13" t="s">
        <v>173</v>
      </c>
      <c r="H191" s="13" t="s">
        <v>196</v>
      </c>
      <c r="I191" s="14" t="s">
        <v>337</v>
      </c>
      <c r="J191" s="75">
        <v>3.8137016200561391E-5</v>
      </c>
      <c r="K191" s="75">
        <v>3.4629995050212112E-5</v>
      </c>
      <c r="L191" s="75">
        <v>1.5024647642852183E-5</v>
      </c>
      <c r="M191" s="75">
        <v>0</v>
      </c>
      <c r="N191" s="75">
        <v>0</v>
      </c>
      <c r="O191" s="75">
        <v>0</v>
      </c>
      <c r="P191" s="75">
        <v>1.2165166296156807E-5</v>
      </c>
      <c r="Q191" s="66">
        <v>30.688936210043771</v>
      </c>
      <c r="R191" s="13">
        <v>31.25609916640277</v>
      </c>
      <c r="S191" s="13">
        <v>26.622962168623889</v>
      </c>
      <c r="T191" s="13">
        <v>19.073017328963015</v>
      </c>
      <c r="U191" s="13">
        <v>26.323801553135215</v>
      </c>
      <c r="V191" s="13">
        <v>23.708013276285534</v>
      </c>
      <c r="W191" s="14">
        <v>24.120812378581746</v>
      </c>
      <c r="X191" s="5">
        <v>19</v>
      </c>
      <c r="Y191" s="5">
        <v>15</v>
      </c>
      <c r="Z191" s="5">
        <v>22</v>
      </c>
      <c r="AA191" s="5">
        <v>24</v>
      </c>
      <c r="AB191" s="5">
        <v>24</v>
      </c>
      <c r="AC191" s="5">
        <v>24</v>
      </c>
      <c r="AD191" s="6">
        <v>23</v>
      </c>
    </row>
    <row r="192" spans="2:30" x14ac:dyDescent="0.25">
      <c r="B192" s="4" t="s">
        <v>56</v>
      </c>
      <c r="C192" s="66" t="s">
        <v>196</v>
      </c>
      <c r="D192" s="13" t="s">
        <v>327</v>
      </c>
      <c r="E192" s="13" t="s">
        <v>338</v>
      </c>
      <c r="F192" s="13" t="s">
        <v>347</v>
      </c>
      <c r="G192" s="13" t="s">
        <v>194</v>
      </c>
      <c r="H192" s="13" t="s">
        <v>288</v>
      </c>
      <c r="I192" s="14" t="s">
        <v>348</v>
      </c>
      <c r="J192" s="75">
        <v>0</v>
      </c>
      <c r="K192" s="75">
        <v>3.1348502873874003E-6</v>
      </c>
      <c r="L192" s="75">
        <v>2.5926879352419503E-5</v>
      </c>
      <c r="M192" s="75">
        <v>0</v>
      </c>
      <c r="N192" s="75">
        <v>7.2654324099517254E-6</v>
      </c>
      <c r="O192" s="75">
        <v>7.1846578340501936E-6</v>
      </c>
      <c r="P192" s="75">
        <v>7.1816605260637388E-6</v>
      </c>
      <c r="Q192" s="66">
        <v>24.456733031389678</v>
      </c>
      <c r="R192" s="13">
        <v>24.430121431996394</v>
      </c>
      <c r="S192" s="13">
        <v>28.950971277136293</v>
      </c>
      <c r="T192" s="13">
        <v>19.073017328963015</v>
      </c>
      <c r="U192" s="13">
        <v>27.684458847091946</v>
      </c>
      <c r="V192" s="13">
        <v>25.218998394463277</v>
      </c>
      <c r="W192" s="14">
        <v>22.977466891703941</v>
      </c>
      <c r="X192" s="5">
        <v>24</v>
      </c>
      <c r="Y192" s="5">
        <v>22</v>
      </c>
      <c r="Z192" s="5">
        <v>19</v>
      </c>
      <c r="AA192" s="5">
        <v>24</v>
      </c>
      <c r="AB192" s="5">
        <v>21</v>
      </c>
      <c r="AC192" s="5">
        <v>23</v>
      </c>
      <c r="AD192" s="6">
        <v>24</v>
      </c>
    </row>
    <row r="193" spans="2:30" x14ac:dyDescent="0.25">
      <c r="B193" s="4" t="s">
        <v>49</v>
      </c>
      <c r="C193" s="66" t="s">
        <v>286</v>
      </c>
      <c r="D193" s="13" t="s">
        <v>349</v>
      </c>
      <c r="E193" s="13" t="s">
        <v>180</v>
      </c>
      <c r="F193" s="13" t="s">
        <v>284</v>
      </c>
      <c r="G193" s="13" t="s">
        <v>318</v>
      </c>
      <c r="H193" s="13" t="s">
        <v>340</v>
      </c>
      <c r="I193" s="14" t="s">
        <v>350</v>
      </c>
      <c r="J193" s="75">
        <v>1.317481397162672E-5</v>
      </c>
      <c r="K193" s="75">
        <v>2.9032632679131344E-5</v>
      </c>
      <c r="L193" s="75">
        <v>0</v>
      </c>
      <c r="M193" s="75">
        <v>4.8839585541097614E-5</v>
      </c>
      <c r="N193" s="75">
        <v>2.276175804796392E-5</v>
      </c>
      <c r="O193" s="75">
        <v>2.2508700659310876E-5</v>
      </c>
      <c r="P193" s="75">
        <v>2.2499310440624171E-5</v>
      </c>
      <c r="Q193" s="66">
        <v>26.609709999497102</v>
      </c>
      <c r="R193" s="13">
        <v>30.042976597698161</v>
      </c>
      <c r="S193" s="13">
        <v>23.414672572829055</v>
      </c>
      <c r="T193" s="13">
        <v>31.304165734708807</v>
      </c>
      <c r="U193" s="13">
        <v>30.586583224439241</v>
      </c>
      <c r="V193" s="13">
        <v>28.44175460555963</v>
      </c>
      <c r="W193" s="14">
        <v>26.491733094522008</v>
      </c>
      <c r="X193" s="5">
        <v>22</v>
      </c>
      <c r="Y193" s="5">
        <v>17</v>
      </c>
      <c r="Z193" s="5">
        <v>25</v>
      </c>
      <c r="AA193" s="5">
        <v>17</v>
      </c>
      <c r="AB193" s="5">
        <v>18</v>
      </c>
      <c r="AC193" s="5">
        <v>18</v>
      </c>
      <c r="AD193" s="6">
        <v>19</v>
      </c>
    </row>
    <row r="194" spans="2:30" x14ac:dyDescent="0.25">
      <c r="B194" s="4" t="s">
        <v>50</v>
      </c>
      <c r="C194" s="66" t="s">
        <v>325</v>
      </c>
      <c r="D194" s="13" t="s">
        <v>351</v>
      </c>
      <c r="E194" s="13" t="s">
        <v>352</v>
      </c>
      <c r="F194" s="13" t="s">
        <v>328</v>
      </c>
      <c r="G194" s="13" t="s">
        <v>353</v>
      </c>
      <c r="H194" s="13" t="s">
        <v>354</v>
      </c>
      <c r="I194" s="14" t="s">
        <v>342</v>
      </c>
      <c r="J194" s="75">
        <v>9.6430061807532111E-5</v>
      </c>
      <c r="K194" s="75">
        <v>5.7738644009363939E-5</v>
      </c>
      <c r="L194" s="75">
        <v>5.0424169197706014E-5</v>
      </c>
      <c r="M194" s="75">
        <v>7.5475148979627901E-5</v>
      </c>
      <c r="N194" s="75">
        <v>6.6120543084542788E-5</v>
      </c>
      <c r="O194" s="75">
        <v>4.9846261035989025E-5</v>
      </c>
      <c r="P194" s="75">
        <v>4.751395647864982E-5</v>
      </c>
      <c r="Q194" s="66">
        <v>40.214959489228448</v>
      </c>
      <c r="R194" s="13">
        <v>36.264462342861989</v>
      </c>
      <c r="S194" s="13">
        <v>34.182002446988292</v>
      </c>
      <c r="T194" s="13">
        <v>37.974646773356852</v>
      </c>
      <c r="U194" s="13">
        <v>38.706739574158163</v>
      </c>
      <c r="V194" s="13">
        <v>34.191039797776014</v>
      </c>
      <c r="W194" s="14">
        <v>32.230741730783357</v>
      </c>
      <c r="X194" s="5">
        <v>14</v>
      </c>
      <c r="Y194" s="5">
        <v>13</v>
      </c>
      <c r="Z194" s="5">
        <v>16</v>
      </c>
      <c r="AA194" s="5">
        <v>15</v>
      </c>
      <c r="AB194" s="5">
        <v>16</v>
      </c>
      <c r="AC194" s="5">
        <v>17</v>
      </c>
      <c r="AD194" s="6">
        <v>16</v>
      </c>
    </row>
    <row r="195" spans="2:30" x14ac:dyDescent="0.25">
      <c r="B195" s="4" t="s">
        <v>51</v>
      </c>
      <c r="C195" s="66" t="s">
        <v>147</v>
      </c>
      <c r="D195" s="13" t="s">
        <v>147</v>
      </c>
      <c r="E195" s="13" t="s">
        <v>147</v>
      </c>
      <c r="F195" s="13" t="s">
        <v>210</v>
      </c>
      <c r="G195" s="13" t="s">
        <v>355</v>
      </c>
      <c r="H195" s="13" t="s">
        <v>356</v>
      </c>
      <c r="I195" s="14" t="s">
        <v>148</v>
      </c>
      <c r="J195" s="75">
        <v>6.6389908409214332E-4</v>
      </c>
      <c r="K195" s="75">
        <v>3.6420267199520026E-4</v>
      </c>
      <c r="L195" s="75">
        <v>3.8161641783846488E-4</v>
      </c>
      <c r="M195" s="75">
        <v>3.1246056568106067E-4</v>
      </c>
      <c r="N195" s="75">
        <v>2.5712668307110564E-4</v>
      </c>
      <c r="O195" s="75">
        <v>2.2693293156933638E-4</v>
      </c>
      <c r="P195" s="75">
        <v>3.0526051566245573E-4</v>
      </c>
      <c r="Q195" s="66">
        <v>100</v>
      </c>
      <c r="R195" s="13">
        <v>100</v>
      </c>
      <c r="S195" s="13">
        <v>100</v>
      </c>
      <c r="T195" s="13">
        <v>97.324122604465401</v>
      </c>
      <c r="U195" s="13">
        <v>74.478030654817246</v>
      </c>
      <c r="V195" s="13">
        <v>71.433637842656481</v>
      </c>
      <c r="W195" s="14">
        <v>91.364487891888785</v>
      </c>
      <c r="X195" s="5">
        <v>1</v>
      </c>
      <c r="Y195" s="5">
        <v>1</v>
      </c>
      <c r="Z195" s="5">
        <v>1</v>
      </c>
      <c r="AA195" s="5">
        <v>2</v>
      </c>
      <c r="AB195" s="5">
        <v>4</v>
      </c>
      <c r="AC195" s="5">
        <v>3</v>
      </c>
      <c r="AD195" s="6">
        <v>2</v>
      </c>
    </row>
    <row r="196" spans="2:30" ht="15.75" thickBot="1" x14ac:dyDescent="0.3">
      <c r="B196" s="7" t="s">
        <v>54</v>
      </c>
      <c r="C196" s="67" t="s">
        <v>357</v>
      </c>
      <c r="D196" s="15" t="s">
        <v>229</v>
      </c>
      <c r="E196" s="15" t="s">
        <v>141</v>
      </c>
      <c r="F196" s="15" t="s">
        <v>358</v>
      </c>
      <c r="G196" s="15" t="s">
        <v>277</v>
      </c>
      <c r="H196" s="15" t="s">
        <v>359</v>
      </c>
      <c r="I196" s="16" t="s">
        <v>213</v>
      </c>
      <c r="J196" s="76">
        <v>3.0753346651550008E-4</v>
      </c>
      <c r="K196" s="76">
        <v>2.3488580274761556E-4</v>
      </c>
      <c r="L196" s="76">
        <v>1.7692422445042004E-4</v>
      </c>
      <c r="M196" s="76">
        <v>1.6290004151955676E-4</v>
      </c>
      <c r="N196" s="76">
        <v>1.9667072285200159E-4</v>
      </c>
      <c r="O196" s="76">
        <v>1.6580136226871211E-4</v>
      </c>
      <c r="P196" s="76">
        <v>1.7939992411756075E-4</v>
      </c>
      <c r="Q196" s="67">
        <v>74.71265859937364</v>
      </c>
      <c r="R196" s="15">
        <v>74.657762972740031</v>
      </c>
      <c r="S196" s="15">
        <v>61.194204049455294</v>
      </c>
      <c r="T196" s="15">
        <v>59.868911910239433</v>
      </c>
      <c r="U196" s="15">
        <v>63.155945664719795</v>
      </c>
      <c r="V196" s="15">
        <v>58.577229980568532</v>
      </c>
      <c r="W196" s="16">
        <v>62.488803593054485</v>
      </c>
      <c r="X196" s="8">
        <v>4</v>
      </c>
      <c r="Y196" s="8">
        <v>6</v>
      </c>
      <c r="Z196" s="8">
        <v>8</v>
      </c>
      <c r="AA196" s="8">
        <v>10</v>
      </c>
      <c r="AB196" s="8">
        <v>6</v>
      </c>
      <c r="AC196" s="8">
        <v>8</v>
      </c>
      <c r="AD196" s="9">
        <v>8</v>
      </c>
    </row>
    <row r="198" spans="2:30" ht="15.75" thickBot="1" x14ac:dyDescent="0.3"/>
    <row r="199" spans="2:30" ht="15.75" thickBot="1" x14ac:dyDescent="0.3">
      <c r="B199" s="68" t="s">
        <v>63</v>
      </c>
      <c r="C199" s="139" t="s">
        <v>68</v>
      </c>
      <c r="D199" s="140"/>
      <c r="E199" s="140"/>
      <c r="F199" s="140"/>
      <c r="G199" s="140"/>
      <c r="H199" s="140"/>
      <c r="I199" s="141"/>
      <c r="J199" s="139"/>
      <c r="K199" s="140"/>
      <c r="L199" s="140"/>
      <c r="M199" s="140"/>
      <c r="N199" s="140"/>
      <c r="O199" s="140"/>
      <c r="P199" s="141"/>
      <c r="Q199" s="139" t="s">
        <v>68</v>
      </c>
      <c r="R199" s="140"/>
      <c r="S199" s="140"/>
      <c r="T199" s="140"/>
      <c r="U199" s="140"/>
      <c r="V199" s="140"/>
      <c r="W199" s="141"/>
      <c r="X199" s="139" t="s">
        <v>69</v>
      </c>
      <c r="Y199" s="140"/>
      <c r="Z199" s="140"/>
      <c r="AA199" s="140"/>
      <c r="AB199" s="140"/>
      <c r="AC199" s="140"/>
      <c r="AD199" s="141"/>
    </row>
    <row r="200" spans="2:30" x14ac:dyDescent="0.25">
      <c r="B200" s="68"/>
      <c r="C200" s="1">
        <v>2009</v>
      </c>
      <c r="D200" s="2">
        <v>2010</v>
      </c>
      <c r="E200" s="2">
        <v>2011</v>
      </c>
      <c r="F200" s="2">
        <v>2012</v>
      </c>
      <c r="G200" s="2">
        <v>2013</v>
      </c>
      <c r="H200" s="2">
        <v>2014</v>
      </c>
      <c r="I200" s="3">
        <v>2015</v>
      </c>
      <c r="J200" s="2">
        <v>2009</v>
      </c>
      <c r="K200" s="2">
        <v>2010</v>
      </c>
      <c r="L200" s="2">
        <v>2011</v>
      </c>
      <c r="M200" s="2">
        <v>2012</v>
      </c>
      <c r="N200" s="2">
        <v>2013</v>
      </c>
      <c r="O200" s="2">
        <v>2014</v>
      </c>
      <c r="P200" s="2">
        <v>2015</v>
      </c>
      <c r="Q200" s="1">
        <v>2009</v>
      </c>
      <c r="R200" s="2">
        <v>2010</v>
      </c>
      <c r="S200" s="2">
        <v>2011</v>
      </c>
      <c r="T200" s="2">
        <v>2012</v>
      </c>
      <c r="U200" s="2">
        <v>2013</v>
      </c>
      <c r="V200" s="2">
        <v>2014</v>
      </c>
      <c r="W200" s="3">
        <v>2015</v>
      </c>
      <c r="X200" s="2">
        <v>2009</v>
      </c>
      <c r="Y200" s="2">
        <v>2010</v>
      </c>
      <c r="Z200" s="2">
        <v>2011</v>
      </c>
      <c r="AA200" s="2">
        <v>2012</v>
      </c>
      <c r="AB200" s="2">
        <v>2013</v>
      </c>
      <c r="AC200" s="2">
        <v>2014</v>
      </c>
      <c r="AD200" s="3">
        <v>2015</v>
      </c>
    </row>
    <row r="201" spans="2:30" x14ac:dyDescent="0.25">
      <c r="B201" s="69" t="s">
        <v>63</v>
      </c>
      <c r="C201" s="64">
        <v>2008</v>
      </c>
      <c r="D201" s="63">
        <v>2009</v>
      </c>
      <c r="E201" s="63">
        <v>2010</v>
      </c>
      <c r="F201" s="63">
        <v>2011</v>
      </c>
      <c r="G201" s="63">
        <v>2012</v>
      </c>
      <c r="H201" s="63">
        <v>2013</v>
      </c>
      <c r="I201" s="65">
        <v>2014</v>
      </c>
      <c r="J201" s="63">
        <v>2008</v>
      </c>
      <c r="K201" s="63">
        <v>2009</v>
      </c>
      <c r="L201" s="63">
        <v>2010</v>
      </c>
      <c r="M201" s="63">
        <v>2011</v>
      </c>
      <c r="N201" s="63">
        <v>2012</v>
      </c>
      <c r="O201" s="63">
        <v>2013</v>
      </c>
      <c r="P201" s="63">
        <v>2014</v>
      </c>
      <c r="Q201" s="64">
        <v>2008</v>
      </c>
      <c r="R201" s="63">
        <v>2009</v>
      </c>
      <c r="S201" s="63">
        <v>2010</v>
      </c>
      <c r="T201" s="63">
        <v>2011</v>
      </c>
      <c r="U201" s="63">
        <v>2012</v>
      </c>
      <c r="V201" s="63">
        <v>2013</v>
      </c>
      <c r="W201" s="65">
        <v>2014</v>
      </c>
      <c r="X201" s="63">
        <v>2008</v>
      </c>
      <c r="Y201" s="63">
        <v>2009</v>
      </c>
      <c r="Z201" s="63">
        <v>2010</v>
      </c>
      <c r="AA201" s="63">
        <v>2011</v>
      </c>
      <c r="AB201" s="63">
        <v>2012</v>
      </c>
      <c r="AC201" s="63">
        <v>2013</v>
      </c>
      <c r="AD201" s="65">
        <v>2014</v>
      </c>
    </row>
    <row r="202" spans="2:30" x14ac:dyDescent="0.25">
      <c r="B202" s="4" t="s">
        <v>27</v>
      </c>
      <c r="C202" s="66" t="s">
        <v>593</v>
      </c>
      <c r="D202" s="13" t="s">
        <v>143</v>
      </c>
      <c r="E202" s="13" t="s">
        <v>380</v>
      </c>
      <c r="F202" s="13" t="s">
        <v>444</v>
      </c>
      <c r="G202" s="13" t="s">
        <v>594</v>
      </c>
      <c r="H202" s="13" t="s">
        <v>433</v>
      </c>
      <c r="I202" s="14" t="s">
        <v>303</v>
      </c>
      <c r="J202" s="13">
        <v>54</v>
      </c>
      <c r="K202" s="13">
        <v>58</v>
      </c>
      <c r="L202" s="13">
        <v>64</v>
      </c>
      <c r="M202" s="13">
        <v>72</v>
      </c>
      <c r="N202" s="13">
        <v>77</v>
      </c>
      <c r="O202" s="13">
        <v>80</v>
      </c>
      <c r="P202" s="13">
        <v>79</v>
      </c>
      <c r="Q202" s="66">
        <v>61.849501466652413</v>
      </c>
      <c r="R202" s="13">
        <v>56.02732016528504</v>
      </c>
      <c r="S202" s="13">
        <v>58.328554323046873</v>
      </c>
      <c r="T202" s="13">
        <v>64.546644754665792</v>
      </c>
      <c r="U202" s="13">
        <v>67.205610528894468</v>
      </c>
      <c r="V202" s="13">
        <v>68.670838339590816</v>
      </c>
      <c r="W202" s="14">
        <v>57.004725441811004</v>
      </c>
      <c r="X202" s="5">
        <v>11</v>
      </c>
      <c r="Y202" s="5">
        <v>12</v>
      </c>
      <c r="Z202" s="5">
        <v>11</v>
      </c>
      <c r="AA202" s="5">
        <v>9</v>
      </c>
      <c r="AB202" s="5">
        <v>7</v>
      </c>
      <c r="AC202" s="5">
        <v>7</v>
      </c>
      <c r="AD202" s="6">
        <v>12</v>
      </c>
    </row>
    <row r="203" spans="2:30" x14ac:dyDescent="0.25">
      <c r="B203" s="4" t="s">
        <v>28</v>
      </c>
      <c r="C203" s="66" t="s">
        <v>443</v>
      </c>
      <c r="D203" s="13" t="s">
        <v>430</v>
      </c>
      <c r="E203" s="13" t="s">
        <v>433</v>
      </c>
      <c r="F203" s="13" t="s">
        <v>446</v>
      </c>
      <c r="G203" s="13" t="s">
        <v>154</v>
      </c>
      <c r="H203" s="13" t="s">
        <v>572</v>
      </c>
      <c r="I203" s="14" t="s">
        <v>213</v>
      </c>
      <c r="J203" s="13">
        <v>60</v>
      </c>
      <c r="K203" s="13">
        <v>63</v>
      </c>
      <c r="L203" s="13">
        <v>70</v>
      </c>
      <c r="M203" s="13">
        <v>74</v>
      </c>
      <c r="N203" s="13">
        <v>75</v>
      </c>
      <c r="O203" s="13">
        <v>79</v>
      </c>
      <c r="P203" s="13">
        <v>81</v>
      </c>
      <c r="Q203" s="66">
        <v>71.23967244022603</v>
      </c>
      <c r="R203" s="13">
        <v>64.637777544263685</v>
      </c>
      <c r="S203" s="13">
        <v>68.579082720643015</v>
      </c>
      <c r="T203" s="13">
        <v>68.335538272160136</v>
      </c>
      <c r="U203" s="13">
        <v>62.639192568619166</v>
      </c>
      <c r="V203" s="13">
        <v>66.169482007014054</v>
      </c>
      <c r="W203" s="14">
        <v>62.099071217673547</v>
      </c>
      <c r="X203" s="5">
        <v>7</v>
      </c>
      <c r="Y203" s="5">
        <v>8</v>
      </c>
      <c r="Z203" s="5">
        <v>7</v>
      </c>
      <c r="AA203" s="5">
        <v>8</v>
      </c>
      <c r="AB203" s="5">
        <v>10</v>
      </c>
      <c r="AC203" s="5">
        <v>8</v>
      </c>
      <c r="AD203" s="6">
        <v>8</v>
      </c>
    </row>
    <row r="204" spans="2:30" x14ac:dyDescent="0.25">
      <c r="B204" s="4" t="s">
        <v>29</v>
      </c>
      <c r="C204" s="66" t="s">
        <v>258</v>
      </c>
      <c r="D204" s="13" t="s">
        <v>595</v>
      </c>
      <c r="E204" s="13" t="s">
        <v>596</v>
      </c>
      <c r="F204" s="13" t="s">
        <v>597</v>
      </c>
      <c r="G204" s="13" t="s">
        <v>598</v>
      </c>
      <c r="H204" s="13" t="s">
        <v>259</v>
      </c>
      <c r="I204" s="14" t="s">
        <v>242</v>
      </c>
      <c r="J204" s="13">
        <v>21</v>
      </c>
      <c r="K204" s="13">
        <v>26</v>
      </c>
      <c r="L204" s="13">
        <v>26</v>
      </c>
      <c r="M204" s="13">
        <v>40</v>
      </c>
      <c r="N204" s="13">
        <v>51</v>
      </c>
      <c r="O204" s="13">
        <v>54</v>
      </c>
      <c r="P204" s="13">
        <v>56</v>
      </c>
      <c r="Q204" s="66">
        <v>10.203561111997551</v>
      </c>
      <c r="R204" s="13">
        <v>0.92039293982178805</v>
      </c>
      <c r="S204" s="13">
        <v>0</v>
      </c>
      <c r="T204" s="13">
        <v>3.924348474756286</v>
      </c>
      <c r="U204" s="13">
        <v>7.8421770453154878</v>
      </c>
      <c r="V204" s="13">
        <v>3.6355736925950097</v>
      </c>
      <c r="W204" s="14">
        <v>0</v>
      </c>
      <c r="X204" s="5">
        <v>27</v>
      </c>
      <c r="Y204" s="5">
        <v>27</v>
      </c>
      <c r="Z204" s="5">
        <v>27</v>
      </c>
      <c r="AA204" s="5">
        <v>27</v>
      </c>
      <c r="AB204" s="5">
        <v>26</v>
      </c>
      <c r="AC204" s="5">
        <v>28</v>
      </c>
      <c r="AD204" s="6">
        <v>28</v>
      </c>
    </row>
    <row r="205" spans="2:30" x14ac:dyDescent="0.25">
      <c r="B205" s="4" t="s">
        <v>30</v>
      </c>
      <c r="C205" s="66" t="s">
        <v>546</v>
      </c>
      <c r="D205" s="13" t="s">
        <v>348</v>
      </c>
      <c r="E205" s="13" t="s">
        <v>549</v>
      </c>
      <c r="F205" s="13" t="s">
        <v>599</v>
      </c>
      <c r="G205" s="13" t="s">
        <v>163</v>
      </c>
      <c r="H205" s="13" t="s">
        <v>161</v>
      </c>
      <c r="I205" s="14" t="s">
        <v>588</v>
      </c>
      <c r="J205" s="13">
        <v>27</v>
      </c>
      <c r="K205" s="13">
        <v>39</v>
      </c>
      <c r="L205" s="13">
        <v>49</v>
      </c>
      <c r="M205" s="13">
        <v>56</v>
      </c>
      <c r="N205" s="13">
        <v>60</v>
      </c>
      <c r="O205" s="13">
        <v>64</v>
      </c>
      <c r="P205" s="13">
        <v>68</v>
      </c>
      <c r="Q205" s="66">
        <v>19.593732085571158</v>
      </c>
      <c r="R205" s="13">
        <v>23.307582125166238</v>
      </c>
      <c r="S205" s="13">
        <v>32.702233329056497</v>
      </c>
      <c r="T205" s="13">
        <v>34.235496614711039</v>
      </c>
      <c r="U205" s="13">
        <v>28.391057866554366</v>
      </c>
      <c r="V205" s="13">
        <v>28.649137018362623</v>
      </c>
      <c r="W205" s="14">
        <v>28.985823674566998</v>
      </c>
      <c r="X205" s="5">
        <v>25</v>
      </c>
      <c r="Y205" s="5">
        <v>24</v>
      </c>
      <c r="Z205" s="5">
        <v>23</v>
      </c>
      <c r="AA205" s="5">
        <v>21</v>
      </c>
      <c r="AB205" s="5">
        <v>22</v>
      </c>
      <c r="AC205" s="5">
        <v>22</v>
      </c>
      <c r="AD205" s="6">
        <v>23</v>
      </c>
    </row>
    <row r="206" spans="2:30" x14ac:dyDescent="0.25">
      <c r="B206" s="4" t="s">
        <v>31</v>
      </c>
      <c r="C206" s="66" t="s">
        <v>588</v>
      </c>
      <c r="D206" s="13" t="s">
        <v>402</v>
      </c>
      <c r="E206" s="13" t="s">
        <v>400</v>
      </c>
      <c r="F206" s="13" t="s">
        <v>599</v>
      </c>
      <c r="G206" s="13" t="s">
        <v>494</v>
      </c>
      <c r="H206" s="13" t="s">
        <v>161</v>
      </c>
      <c r="I206" s="14" t="s">
        <v>226</v>
      </c>
      <c r="J206" s="13">
        <v>33</v>
      </c>
      <c r="K206" s="13">
        <v>47</v>
      </c>
      <c r="L206" s="13">
        <v>51</v>
      </c>
      <c r="M206" s="13">
        <v>56</v>
      </c>
      <c r="N206" s="13">
        <v>62</v>
      </c>
      <c r="O206" s="13">
        <v>64</v>
      </c>
      <c r="P206" s="13">
        <v>69</v>
      </c>
      <c r="Q206" s="66">
        <v>28.983903059144772</v>
      </c>
      <c r="R206" s="13">
        <v>37.084313931532051</v>
      </c>
      <c r="S206" s="13">
        <v>36.119076128255216</v>
      </c>
      <c r="T206" s="13">
        <v>34.235496614711039</v>
      </c>
      <c r="U206" s="13">
        <v>32.957475826829679</v>
      </c>
      <c r="V206" s="13">
        <v>28.649137018362623</v>
      </c>
      <c r="W206" s="14">
        <v>31.532996562498269</v>
      </c>
      <c r="X206" s="5">
        <v>23</v>
      </c>
      <c r="Y206" s="5">
        <v>21</v>
      </c>
      <c r="Z206" s="5">
        <v>21</v>
      </c>
      <c r="AA206" s="5">
        <v>21</v>
      </c>
      <c r="AB206" s="5">
        <v>21</v>
      </c>
      <c r="AC206" s="5">
        <v>22</v>
      </c>
      <c r="AD206" s="6">
        <v>22</v>
      </c>
    </row>
    <row r="207" spans="2:30" x14ac:dyDescent="0.25">
      <c r="B207" s="4" t="s">
        <v>32</v>
      </c>
      <c r="C207" s="66" t="s">
        <v>599</v>
      </c>
      <c r="D207" s="13" t="s">
        <v>600</v>
      </c>
      <c r="E207" s="13" t="s">
        <v>189</v>
      </c>
      <c r="F207" s="13" t="s">
        <v>235</v>
      </c>
      <c r="G207" s="13" t="s">
        <v>548</v>
      </c>
      <c r="H207" s="13" t="s">
        <v>189</v>
      </c>
      <c r="I207" s="14" t="s">
        <v>202</v>
      </c>
      <c r="J207" s="13">
        <v>36</v>
      </c>
      <c r="K207" s="13">
        <v>49</v>
      </c>
      <c r="L207" s="13">
        <v>54</v>
      </c>
      <c r="M207" s="13">
        <v>63</v>
      </c>
      <c r="N207" s="13">
        <v>63</v>
      </c>
      <c r="O207" s="13">
        <v>69</v>
      </c>
      <c r="P207" s="13">
        <v>76</v>
      </c>
      <c r="Q207" s="66">
        <v>33.678988545931574</v>
      </c>
      <c r="R207" s="13">
        <v>40.528496883123502</v>
      </c>
      <c r="S207" s="13">
        <v>41.244340327053294</v>
      </c>
      <c r="T207" s="13">
        <v>47.496623925941243</v>
      </c>
      <c r="U207" s="13">
        <v>35.240684806967323</v>
      </c>
      <c r="V207" s="13">
        <v>41.155918681246433</v>
      </c>
      <c r="W207" s="14">
        <v>49.363206778017179</v>
      </c>
      <c r="X207" s="5">
        <v>21</v>
      </c>
      <c r="Y207" s="5">
        <v>20</v>
      </c>
      <c r="Z207" s="5">
        <v>17</v>
      </c>
      <c r="AA207" s="5">
        <v>15</v>
      </c>
      <c r="AB207" s="5">
        <v>20</v>
      </c>
      <c r="AC207" s="5">
        <v>17</v>
      </c>
      <c r="AD207" s="6">
        <v>14</v>
      </c>
    </row>
    <row r="208" spans="2:30" x14ac:dyDescent="0.25">
      <c r="B208" s="4" t="s">
        <v>33</v>
      </c>
      <c r="C208" s="66" t="s">
        <v>601</v>
      </c>
      <c r="D208" s="13" t="s">
        <v>602</v>
      </c>
      <c r="E208" s="13" t="s">
        <v>300</v>
      </c>
      <c r="F208" s="13" t="s">
        <v>539</v>
      </c>
      <c r="G208" s="13" t="s">
        <v>440</v>
      </c>
      <c r="H208" s="13" t="s">
        <v>300</v>
      </c>
      <c r="I208" s="14" t="s">
        <v>573</v>
      </c>
      <c r="J208" s="13">
        <v>74</v>
      </c>
      <c r="K208" s="13">
        <v>76</v>
      </c>
      <c r="L208" s="13">
        <v>80</v>
      </c>
      <c r="M208" s="13">
        <v>84</v>
      </c>
      <c r="N208" s="13">
        <v>85</v>
      </c>
      <c r="O208" s="13">
        <v>87</v>
      </c>
      <c r="P208" s="13">
        <v>85</v>
      </c>
      <c r="Q208" s="66">
        <v>93.150071378564448</v>
      </c>
      <c r="R208" s="13">
        <v>87.024966729608124</v>
      </c>
      <c r="S208" s="13">
        <v>85.663296716636594</v>
      </c>
      <c r="T208" s="13">
        <v>87.280005859631856</v>
      </c>
      <c r="U208" s="13">
        <v>85.471282369995691</v>
      </c>
      <c r="V208" s="13">
        <v>86.180332667628136</v>
      </c>
      <c r="W208" s="14">
        <v>72.28776276939864</v>
      </c>
      <c r="X208" s="5">
        <v>1</v>
      </c>
      <c r="Y208" s="5">
        <v>3</v>
      </c>
      <c r="Z208" s="5">
        <v>2</v>
      </c>
      <c r="AA208" s="5">
        <v>2</v>
      </c>
      <c r="AB208" s="5">
        <v>3</v>
      </c>
      <c r="AC208" s="5">
        <v>2</v>
      </c>
      <c r="AD208" s="6">
        <v>7</v>
      </c>
    </row>
    <row r="209" spans="2:30" x14ac:dyDescent="0.25">
      <c r="B209" s="4" t="s">
        <v>34</v>
      </c>
      <c r="C209" s="66" t="s">
        <v>593</v>
      </c>
      <c r="D209" s="13" t="s">
        <v>603</v>
      </c>
      <c r="E209" s="13" t="s">
        <v>380</v>
      </c>
      <c r="F209" s="13" t="s">
        <v>260</v>
      </c>
      <c r="G209" s="13" t="s">
        <v>380</v>
      </c>
      <c r="H209" s="13" t="s">
        <v>567</v>
      </c>
      <c r="I209" s="14" t="s">
        <v>213</v>
      </c>
      <c r="J209" s="13">
        <v>54</v>
      </c>
      <c r="K209" s="13">
        <v>61</v>
      </c>
      <c r="L209" s="13">
        <v>64</v>
      </c>
      <c r="M209" s="13">
        <v>65</v>
      </c>
      <c r="N209" s="13">
        <v>73</v>
      </c>
      <c r="O209" s="13">
        <v>78</v>
      </c>
      <c r="P209" s="13">
        <v>81</v>
      </c>
      <c r="Q209" s="66">
        <v>61.849501466652413</v>
      </c>
      <c r="R209" s="13">
        <v>61.193594592672227</v>
      </c>
      <c r="S209" s="13">
        <v>58.328554323046873</v>
      </c>
      <c r="T209" s="13">
        <v>51.285517443435587</v>
      </c>
      <c r="U209" s="13">
        <v>58.072774608343863</v>
      </c>
      <c r="V209" s="13">
        <v>63.668125674437292</v>
      </c>
      <c r="W209" s="14">
        <v>62.099071217673547</v>
      </c>
      <c r="X209" s="5">
        <v>11</v>
      </c>
      <c r="Y209" s="5">
        <v>11</v>
      </c>
      <c r="Z209" s="5">
        <v>11</v>
      </c>
      <c r="AA209" s="5">
        <v>13</v>
      </c>
      <c r="AB209" s="5">
        <v>11</v>
      </c>
      <c r="AC209" s="5">
        <v>10</v>
      </c>
      <c r="AD209" s="6">
        <v>8</v>
      </c>
    </row>
    <row r="210" spans="2:30" x14ac:dyDescent="0.25">
      <c r="B210" s="4" t="s">
        <v>35</v>
      </c>
      <c r="C210" s="66" t="s">
        <v>492</v>
      </c>
      <c r="D210" s="13" t="s">
        <v>176</v>
      </c>
      <c r="E210" s="13" t="s">
        <v>261</v>
      </c>
      <c r="F210" s="13" t="s">
        <v>550</v>
      </c>
      <c r="G210" s="13" t="s">
        <v>440</v>
      </c>
      <c r="H210" s="13" t="s">
        <v>604</v>
      </c>
      <c r="I210" s="14" t="s">
        <v>345</v>
      </c>
      <c r="J210" s="13">
        <v>66</v>
      </c>
      <c r="K210" s="13">
        <v>74</v>
      </c>
      <c r="L210" s="13">
        <v>76</v>
      </c>
      <c r="M210" s="13">
        <v>81</v>
      </c>
      <c r="N210" s="13">
        <v>85</v>
      </c>
      <c r="O210" s="13">
        <v>88</v>
      </c>
      <c r="P210" s="13">
        <v>89</v>
      </c>
      <c r="Q210" s="66">
        <v>80.629843413799634</v>
      </c>
      <c r="R210" s="13">
        <v>83.580783778016666</v>
      </c>
      <c r="S210" s="13">
        <v>78.829611118239171</v>
      </c>
      <c r="T210" s="13">
        <v>81.596665583390333</v>
      </c>
      <c r="U210" s="13">
        <v>85.471282369995691</v>
      </c>
      <c r="V210" s="13">
        <v>88.681689000204898</v>
      </c>
      <c r="W210" s="14">
        <v>82.476454321123725</v>
      </c>
      <c r="X210" s="5">
        <v>4</v>
      </c>
      <c r="Y210" s="5">
        <v>4</v>
      </c>
      <c r="Z210" s="5">
        <v>4</v>
      </c>
      <c r="AA210" s="5">
        <v>4</v>
      </c>
      <c r="AB210" s="5">
        <v>3</v>
      </c>
      <c r="AC210" s="5">
        <v>1</v>
      </c>
      <c r="AD210" s="6">
        <v>3</v>
      </c>
    </row>
    <row r="211" spans="2:30" x14ac:dyDescent="0.25">
      <c r="B211" s="4" t="s">
        <v>36</v>
      </c>
      <c r="C211" s="66" t="s">
        <v>145</v>
      </c>
      <c r="D211" s="13" t="s">
        <v>430</v>
      </c>
      <c r="E211" s="13" t="s">
        <v>605</v>
      </c>
      <c r="F211" s="13" t="s">
        <v>606</v>
      </c>
      <c r="G211" s="13" t="s">
        <v>594</v>
      </c>
      <c r="H211" s="13" t="s">
        <v>567</v>
      </c>
      <c r="I211" s="14" t="s">
        <v>206</v>
      </c>
      <c r="J211" s="13">
        <v>57</v>
      </c>
      <c r="K211" s="13">
        <v>63</v>
      </c>
      <c r="L211" s="13">
        <v>66</v>
      </c>
      <c r="M211" s="13">
        <v>70</v>
      </c>
      <c r="N211" s="13">
        <v>77</v>
      </c>
      <c r="O211" s="13">
        <v>78</v>
      </c>
      <c r="P211" s="13">
        <v>77</v>
      </c>
      <c r="Q211" s="66">
        <v>66.544586953439222</v>
      </c>
      <c r="R211" s="13">
        <v>64.637777544263685</v>
      </c>
      <c r="S211" s="13">
        <v>61.745397122245585</v>
      </c>
      <c r="T211" s="13">
        <v>60.757751237171448</v>
      </c>
      <c r="U211" s="13">
        <v>67.205610528894468</v>
      </c>
      <c r="V211" s="13">
        <v>63.668125674437292</v>
      </c>
      <c r="W211" s="14">
        <v>51.910379665948454</v>
      </c>
      <c r="X211" s="5">
        <v>8</v>
      </c>
      <c r="Y211" s="5">
        <v>8</v>
      </c>
      <c r="Z211" s="5">
        <v>10</v>
      </c>
      <c r="AA211" s="5">
        <v>10</v>
      </c>
      <c r="AB211" s="5">
        <v>7</v>
      </c>
      <c r="AC211" s="5">
        <v>10</v>
      </c>
      <c r="AD211" s="6">
        <v>13</v>
      </c>
    </row>
    <row r="212" spans="2:30" x14ac:dyDescent="0.25">
      <c r="B212" s="4" t="s">
        <v>37</v>
      </c>
      <c r="C212" s="66" t="s">
        <v>534</v>
      </c>
      <c r="D212" s="13" t="s">
        <v>432</v>
      </c>
      <c r="E212" s="13" t="s">
        <v>586</v>
      </c>
      <c r="F212" s="13" t="s">
        <v>607</v>
      </c>
      <c r="G212" s="13" t="s">
        <v>479</v>
      </c>
      <c r="H212" s="13" t="s">
        <v>507</v>
      </c>
      <c r="I212" s="14" t="s">
        <v>586</v>
      </c>
      <c r="J212" s="13">
        <v>55</v>
      </c>
      <c r="K212" s="13">
        <v>65</v>
      </c>
      <c r="L212" s="13">
        <v>75</v>
      </c>
      <c r="M212" s="13">
        <v>78</v>
      </c>
      <c r="N212" s="13">
        <v>82</v>
      </c>
      <c r="O212" s="13">
        <v>85</v>
      </c>
      <c r="P212" s="13">
        <v>87</v>
      </c>
      <c r="Q212" s="66">
        <v>63.414529962248011</v>
      </c>
      <c r="R212" s="13">
        <v>68.081960495855128</v>
      </c>
      <c r="S212" s="13">
        <v>77.121189718639812</v>
      </c>
      <c r="T212" s="13">
        <v>75.913325307148824</v>
      </c>
      <c r="U212" s="13">
        <v>78.621655429582745</v>
      </c>
      <c r="V212" s="13">
        <v>81.177620002474626</v>
      </c>
      <c r="W212" s="14">
        <v>77.38210854526119</v>
      </c>
      <c r="X212" s="5">
        <v>9</v>
      </c>
      <c r="Y212" s="5">
        <v>7</v>
      </c>
      <c r="Z212" s="5">
        <v>5</v>
      </c>
      <c r="AA212" s="5">
        <v>6</v>
      </c>
      <c r="AB212" s="5">
        <v>6</v>
      </c>
      <c r="AC212" s="5">
        <v>6</v>
      </c>
      <c r="AD212" s="6">
        <v>5</v>
      </c>
    </row>
    <row r="213" spans="2:30" x14ac:dyDescent="0.25">
      <c r="B213" s="4" t="s">
        <v>38</v>
      </c>
      <c r="C213" s="66" t="s">
        <v>608</v>
      </c>
      <c r="D213" s="13" t="s">
        <v>243</v>
      </c>
      <c r="E213" s="13" t="s">
        <v>151</v>
      </c>
      <c r="F213" s="13" t="s">
        <v>243</v>
      </c>
      <c r="G213" s="13" t="s">
        <v>598</v>
      </c>
      <c r="H213" s="13" t="s">
        <v>530</v>
      </c>
      <c r="I213" s="14" t="s">
        <v>554</v>
      </c>
      <c r="J213" s="13">
        <v>22</v>
      </c>
      <c r="K213" s="13">
        <v>33</v>
      </c>
      <c r="L213" s="13">
        <v>41</v>
      </c>
      <c r="M213" s="13">
        <v>45</v>
      </c>
      <c r="N213" s="13">
        <v>51</v>
      </c>
      <c r="O213" s="13">
        <v>55</v>
      </c>
      <c r="P213" s="13">
        <v>65</v>
      </c>
      <c r="Q213" s="66">
        <v>11.76858960759315</v>
      </c>
      <c r="R213" s="13">
        <v>12.975033270391876</v>
      </c>
      <c r="S213" s="13">
        <v>19.034862132261637</v>
      </c>
      <c r="T213" s="13">
        <v>13.396582268492146</v>
      </c>
      <c r="U213" s="13">
        <v>7.8421770453154878</v>
      </c>
      <c r="V213" s="13">
        <v>6.1369300251717718</v>
      </c>
      <c r="W213" s="14">
        <v>21.34430501077318</v>
      </c>
      <c r="X213" s="5">
        <v>26</v>
      </c>
      <c r="Y213" s="5">
        <v>26</v>
      </c>
      <c r="Z213" s="5">
        <v>26</v>
      </c>
      <c r="AA213" s="5">
        <v>26</v>
      </c>
      <c r="AB213" s="5">
        <v>26</v>
      </c>
      <c r="AC213" s="5">
        <v>27</v>
      </c>
      <c r="AD213" s="6">
        <v>24</v>
      </c>
    </row>
    <row r="214" spans="2:30" x14ac:dyDescent="0.25">
      <c r="B214" s="4" t="s">
        <v>39</v>
      </c>
      <c r="C214" s="66" t="s">
        <v>220</v>
      </c>
      <c r="D214" s="13" t="s">
        <v>218</v>
      </c>
      <c r="E214" s="13" t="s">
        <v>405</v>
      </c>
      <c r="F214" s="13" t="s">
        <v>184</v>
      </c>
      <c r="G214" s="13" t="s">
        <v>191</v>
      </c>
      <c r="H214" s="13" t="s">
        <v>450</v>
      </c>
      <c r="I214" s="14" t="s">
        <v>523</v>
      </c>
      <c r="J214" s="13">
        <v>42</v>
      </c>
      <c r="K214" s="13">
        <v>51</v>
      </c>
      <c r="L214" s="13">
        <v>52</v>
      </c>
      <c r="M214" s="13">
        <v>61</v>
      </c>
      <c r="N214" s="13">
        <v>68</v>
      </c>
      <c r="O214" s="13">
        <v>71</v>
      </c>
      <c r="P214" s="13">
        <v>74</v>
      </c>
      <c r="Q214" s="66">
        <v>43.069159519505192</v>
      </c>
      <c r="R214" s="13">
        <v>43.97267983471496</v>
      </c>
      <c r="S214" s="13">
        <v>37.827497527854575</v>
      </c>
      <c r="T214" s="13">
        <v>43.707730408446899</v>
      </c>
      <c r="U214" s="13">
        <v>46.656729707655593</v>
      </c>
      <c r="V214" s="13">
        <v>46.158631346399957</v>
      </c>
      <c r="W214" s="14">
        <v>44.268861002154637</v>
      </c>
      <c r="X214" s="5">
        <v>17</v>
      </c>
      <c r="Y214" s="5">
        <v>15</v>
      </c>
      <c r="Z214" s="5">
        <v>20</v>
      </c>
      <c r="AA214" s="5">
        <v>16</v>
      </c>
      <c r="AB214" s="5">
        <v>14</v>
      </c>
      <c r="AC214" s="5">
        <v>13</v>
      </c>
      <c r="AD214" s="6">
        <v>17</v>
      </c>
    </row>
    <row r="215" spans="2:30" x14ac:dyDescent="0.25">
      <c r="B215" s="4" t="s">
        <v>40</v>
      </c>
      <c r="C215" s="66" t="s">
        <v>190</v>
      </c>
      <c r="D215" s="13" t="s">
        <v>202</v>
      </c>
      <c r="E215" s="13" t="s">
        <v>384</v>
      </c>
      <c r="F215" s="13" t="s">
        <v>260</v>
      </c>
      <c r="G215" s="13" t="s">
        <v>197</v>
      </c>
      <c r="H215" s="13" t="s">
        <v>400</v>
      </c>
      <c r="I215" s="14" t="s">
        <v>358</v>
      </c>
      <c r="J215" s="13">
        <v>43</v>
      </c>
      <c r="K215" s="13">
        <v>54</v>
      </c>
      <c r="L215" s="13">
        <v>58</v>
      </c>
      <c r="M215" s="13">
        <v>65</v>
      </c>
      <c r="N215" s="13">
        <v>65</v>
      </c>
      <c r="O215" s="13">
        <v>67</v>
      </c>
      <c r="P215" s="13">
        <v>80</v>
      </c>
      <c r="Q215" s="66">
        <v>44.63418801510079</v>
      </c>
      <c r="R215" s="13">
        <v>49.138954262102139</v>
      </c>
      <c r="S215" s="13">
        <v>48.078025925450724</v>
      </c>
      <c r="T215" s="13">
        <v>51.285517443435587</v>
      </c>
      <c r="U215" s="13">
        <v>39.807102767242633</v>
      </c>
      <c r="V215" s="13">
        <v>36.153206016092909</v>
      </c>
      <c r="W215" s="14">
        <v>59.551898329742272</v>
      </c>
      <c r="X215" s="5">
        <v>15</v>
      </c>
      <c r="Y215" s="5">
        <v>14</v>
      </c>
      <c r="Z215" s="5">
        <v>14</v>
      </c>
      <c r="AA215" s="5">
        <v>13</v>
      </c>
      <c r="AB215" s="5">
        <v>18</v>
      </c>
      <c r="AC215" s="5">
        <v>21</v>
      </c>
      <c r="AD215" s="6">
        <v>10</v>
      </c>
    </row>
    <row r="216" spans="2:30" x14ac:dyDescent="0.25">
      <c r="B216" s="4" t="s">
        <v>41</v>
      </c>
      <c r="C216" s="66" t="s">
        <v>173</v>
      </c>
      <c r="D216" s="13" t="s">
        <v>348</v>
      </c>
      <c r="E216" s="13" t="s">
        <v>549</v>
      </c>
      <c r="F216" s="13" t="s">
        <v>609</v>
      </c>
      <c r="G216" s="13" t="s">
        <v>544</v>
      </c>
      <c r="H216" s="13" t="s">
        <v>392</v>
      </c>
      <c r="I216" s="14" t="s">
        <v>404</v>
      </c>
      <c r="J216" s="13">
        <v>31</v>
      </c>
      <c r="K216" s="13">
        <v>39</v>
      </c>
      <c r="L216" s="13">
        <v>49</v>
      </c>
      <c r="M216" s="13">
        <v>52</v>
      </c>
      <c r="N216" s="13">
        <v>55</v>
      </c>
      <c r="O216" s="13">
        <v>68</v>
      </c>
      <c r="P216" s="13">
        <v>71</v>
      </c>
      <c r="Q216" s="66">
        <v>25.853846067953569</v>
      </c>
      <c r="R216" s="13">
        <v>23.307582125166238</v>
      </c>
      <c r="S216" s="13">
        <v>32.702233329056497</v>
      </c>
      <c r="T216" s="13">
        <v>26.657709579722351</v>
      </c>
      <c r="U216" s="13">
        <v>16.9750129658661</v>
      </c>
      <c r="V216" s="13">
        <v>38.654562348669671</v>
      </c>
      <c r="W216" s="14">
        <v>36.627342338360819</v>
      </c>
      <c r="X216" s="5">
        <v>24</v>
      </c>
      <c r="Y216" s="5">
        <v>24</v>
      </c>
      <c r="Z216" s="5">
        <v>23</v>
      </c>
      <c r="AA216" s="5">
        <v>25</v>
      </c>
      <c r="AB216" s="5">
        <v>25</v>
      </c>
      <c r="AC216" s="5">
        <v>20</v>
      </c>
      <c r="AD216" s="6">
        <v>20</v>
      </c>
    </row>
    <row r="217" spans="2:30" x14ac:dyDescent="0.25">
      <c r="B217" s="4" t="s">
        <v>42</v>
      </c>
      <c r="C217" s="66" t="s">
        <v>197</v>
      </c>
      <c r="D217" s="13" t="s">
        <v>393</v>
      </c>
      <c r="E217" s="13" t="s">
        <v>390</v>
      </c>
      <c r="F217" s="13" t="s">
        <v>390</v>
      </c>
      <c r="G217" s="13" t="s">
        <v>184</v>
      </c>
      <c r="H217" s="13" t="s">
        <v>387</v>
      </c>
      <c r="I217" s="14" t="s">
        <v>238</v>
      </c>
      <c r="J217" s="13">
        <v>40</v>
      </c>
      <c r="K217" s="13">
        <v>50</v>
      </c>
      <c r="L217" s="13">
        <v>53</v>
      </c>
      <c r="M217" s="13">
        <v>59</v>
      </c>
      <c r="N217" s="13">
        <v>67</v>
      </c>
      <c r="O217" s="13">
        <v>70</v>
      </c>
      <c r="P217" s="13">
        <v>73</v>
      </c>
      <c r="Q217" s="66">
        <v>39.939102528313981</v>
      </c>
      <c r="R217" s="13">
        <v>42.250588358919231</v>
      </c>
      <c r="S217" s="13">
        <v>39.535918927453935</v>
      </c>
      <c r="T217" s="13">
        <v>39.918836890952555</v>
      </c>
      <c r="U217" s="13">
        <v>44.373520727517942</v>
      </c>
      <c r="V217" s="13">
        <v>43.657275013823195</v>
      </c>
      <c r="W217" s="14">
        <v>41.721688114223362</v>
      </c>
      <c r="X217" s="5">
        <v>18</v>
      </c>
      <c r="Y217" s="5">
        <v>17</v>
      </c>
      <c r="Z217" s="5">
        <v>19</v>
      </c>
      <c r="AA217" s="5">
        <v>19</v>
      </c>
      <c r="AB217" s="5">
        <v>16</v>
      </c>
      <c r="AC217" s="5">
        <v>14</v>
      </c>
      <c r="AD217" s="6">
        <v>18</v>
      </c>
    </row>
    <row r="218" spans="2:30" x14ac:dyDescent="0.25">
      <c r="B218" s="4" t="s">
        <v>43</v>
      </c>
      <c r="C218" s="66" t="s">
        <v>190</v>
      </c>
      <c r="D218" s="13" t="s">
        <v>393</v>
      </c>
      <c r="E218" s="13" t="s">
        <v>189</v>
      </c>
      <c r="F218" s="13" t="s">
        <v>599</v>
      </c>
      <c r="G218" s="13" t="s">
        <v>163</v>
      </c>
      <c r="H218" s="13" t="s">
        <v>161</v>
      </c>
      <c r="I218" s="14" t="s">
        <v>554</v>
      </c>
      <c r="J218" s="13">
        <v>43</v>
      </c>
      <c r="K218" s="13">
        <v>50</v>
      </c>
      <c r="L218" s="13">
        <v>54</v>
      </c>
      <c r="M218" s="13">
        <v>56</v>
      </c>
      <c r="N218" s="13">
        <v>60</v>
      </c>
      <c r="O218" s="13">
        <v>64</v>
      </c>
      <c r="P218" s="13">
        <v>65</v>
      </c>
      <c r="Q218" s="66">
        <v>44.63418801510079</v>
      </c>
      <c r="R218" s="13">
        <v>42.250588358919231</v>
      </c>
      <c r="S218" s="13">
        <v>41.244340327053294</v>
      </c>
      <c r="T218" s="13">
        <v>34.235496614711039</v>
      </c>
      <c r="U218" s="13">
        <v>28.391057866554366</v>
      </c>
      <c r="V218" s="13">
        <v>28.649137018362623</v>
      </c>
      <c r="W218" s="14">
        <v>21.34430501077318</v>
      </c>
      <c r="X218" s="5">
        <v>15</v>
      </c>
      <c r="Y218" s="5">
        <v>17</v>
      </c>
      <c r="Z218" s="5">
        <v>17</v>
      </c>
      <c r="AA218" s="5">
        <v>21</v>
      </c>
      <c r="AB218" s="5">
        <v>22</v>
      </c>
      <c r="AC218" s="5">
        <v>22</v>
      </c>
      <c r="AD218" s="6">
        <v>24</v>
      </c>
    </row>
    <row r="219" spans="2:30" x14ac:dyDescent="0.25">
      <c r="B219" s="4" t="s">
        <v>44</v>
      </c>
      <c r="C219" s="66" t="s">
        <v>157</v>
      </c>
      <c r="D219" s="13" t="s">
        <v>252</v>
      </c>
      <c r="E219" s="13" t="s">
        <v>433</v>
      </c>
      <c r="F219" s="13" t="s">
        <v>142</v>
      </c>
      <c r="G219" s="13" t="s">
        <v>191</v>
      </c>
      <c r="H219" s="13" t="s">
        <v>387</v>
      </c>
      <c r="I219" s="14" t="s">
        <v>610</v>
      </c>
      <c r="J219" s="13">
        <v>61</v>
      </c>
      <c r="K219" s="13">
        <v>71</v>
      </c>
      <c r="L219" s="13">
        <v>70</v>
      </c>
      <c r="M219" s="13">
        <v>68</v>
      </c>
      <c r="N219" s="13">
        <v>68</v>
      </c>
      <c r="O219" s="13">
        <v>70</v>
      </c>
      <c r="P219" s="13">
        <v>93</v>
      </c>
      <c r="Q219" s="66">
        <v>72.804700935821629</v>
      </c>
      <c r="R219" s="13">
        <v>78.414509350629487</v>
      </c>
      <c r="S219" s="13">
        <v>68.579082720643015</v>
      </c>
      <c r="T219" s="13">
        <v>56.968857719677104</v>
      </c>
      <c r="U219" s="13">
        <v>46.656729707655593</v>
      </c>
      <c r="V219" s="13">
        <v>43.657275013823195</v>
      </c>
      <c r="W219" s="14">
        <v>92.665145872848825</v>
      </c>
      <c r="X219" s="5">
        <v>6</v>
      </c>
      <c r="Y219" s="5">
        <v>5</v>
      </c>
      <c r="Z219" s="5">
        <v>7</v>
      </c>
      <c r="AA219" s="5">
        <v>11</v>
      </c>
      <c r="AB219" s="5">
        <v>14</v>
      </c>
      <c r="AC219" s="5">
        <v>14</v>
      </c>
      <c r="AD219" s="6">
        <v>2</v>
      </c>
    </row>
    <row r="220" spans="2:30" x14ac:dyDescent="0.25">
      <c r="B220" s="4" t="s">
        <v>18</v>
      </c>
      <c r="C220" s="66" t="s">
        <v>534</v>
      </c>
      <c r="D220" s="13" t="s">
        <v>430</v>
      </c>
      <c r="E220" s="13" t="s">
        <v>585</v>
      </c>
      <c r="F220" s="13" t="s">
        <v>563</v>
      </c>
      <c r="G220" s="13" t="s">
        <v>594</v>
      </c>
      <c r="H220" s="13" t="s">
        <v>572</v>
      </c>
      <c r="I220" s="14" t="s">
        <v>358</v>
      </c>
      <c r="J220" s="13">
        <v>55</v>
      </c>
      <c r="K220" s="13">
        <v>63</v>
      </c>
      <c r="L220" s="13">
        <v>69</v>
      </c>
      <c r="M220" s="13">
        <v>75</v>
      </c>
      <c r="N220" s="13">
        <v>77</v>
      </c>
      <c r="O220" s="13">
        <v>79</v>
      </c>
      <c r="P220" s="13">
        <v>80</v>
      </c>
      <c r="Q220" s="66">
        <v>63.414529962248011</v>
      </c>
      <c r="R220" s="13">
        <v>64.637777544263685</v>
      </c>
      <c r="S220" s="13">
        <v>66.870661321043656</v>
      </c>
      <c r="T220" s="13">
        <v>70.229985030907301</v>
      </c>
      <c r="U220" s="13">
        <v>67.205610528894468</v>
      </c>
      <c r="V220" s="13">
        <v>66.169482007014054</v>
      </c>
      <c r="W220" s="14">
        <v>59.551898329742272</v>
      </c>
      <c r="X220" s="5">
        <v>9</v>
      </c>
      <c r="Y220" s="5">
        <v>8</v>
      </c>
      <c r="Z220" s="5">
        <v>9</v>
      </c>
      <c r="AA220" s="5">
        <v>7</v>
      </c>
      <c r="AB220" s="5">
        <v>7</v>
      </c>
      <c r="AC220" s="5">
        <v>8</v>
      </c>
      <c r="AD220" s="6">
        <v>10</v>
      </c>
    </row>
    <row r="221" spans="2:30" x14ac:dyDescent="0.25">
      <c r="B221" s="4" t="s">
        <v>45</v>
      </c>
      <c r="C221" s="66" t="s">
        <v>601</v>
      </c>
      <c r="D221" s="13" t="s">
        <v>537</v>
      </c>
      <c r="E221" s="13" t="s">
        <v>300</v>
      </c>
      <c r="F221" s="13" t="s">
        <v>440</v>
      </c>
      <c r="G221" s="13" t="s">
        <v>175</v>
      </c>
      <c r="H221" s="13" t="s">
        <v>300</v>
      </c>
      <c r="I221" s="14" t="s">
        <v>253</v>
      </c>
      <c r="J221" s="13">
        <v>74</v>
      </c>
      <c r="K221" s="13">
        <v>77</v>
      </c>
      <c r="L221" s="13">
        <v>80</v>
      </c>
      <c r="M221" s="13">
        <v>83</v>
      </c>
      <c r="N221" s="13">
        <v>84</v>
      </c>
      <c r="O221" s="13">
        <v>87</v>
      </c>
      <c r="P221" s="13">
        <v>95</v>
      </c>
      <c r="Q221" s="66">
        <v>93.150071378564448</v>
      </c>
      <c r="R221" s="13">
        <v>88.747058205403846</v>
      </c>
      <c r="S221" s="13">
        <v>85.663296716636594</v>
      </c>
      <c r="T221" s="13">
        <v>85.385559100884677</v>
      </c>
      <c r="U221" s="13">
        <v>83.188073389858047</v>
      </c>
      <c r="V221" s="13">
        <v>86.180332667628136</v>
      </c>
      <c r="W221" s="14">
        <v>97.759491648711375</v>
      </c>
      <c r="X221" s="5">
        <v>1</v>
      </c>
      <c r="Y221" s="5">
        <v>2</v>
      </c>
      <c r="Z221" s="5">
        <v>2</v>
      </c>
      <c r="AA221" s="5">
        <v>3</v>
      </c>
      <c r="AB221" s="5">
        <v>5</v>
      </c>
      <c r="AC221" s="5">
        <v>2</v>
      </c>
      <c r="AD221" s="6">
        <v>1</v>
      </c>
    </row>
    <row r="222" spans="2:30" x14ac:dyDescent="0.25">
      <c r="B222" s="4" t="s">
        <v>46</v>
      </c>
      <c r="C222" s="66" t="s">
        <v>404</v>
      </c>
      <c r="D222" s="13" t="s">
        <v>218</v>
      </c>
      <c r="E222" s="13" t="s">
        <v>208</v>
      </c>
      <c r="F222" s="13" t="s">
        <v>184</v>
      </c>
      <c r="G222" s="13" t="s">
        <v>184</v>
      </c>
      <c r="H222" s="13" t="s">
        <v>189</v>
      </c>
      <c r="I222" s="14" t="s">
        <v>404</v>
      </c>
      <c r="J222" s="13">
        <v>38</v>
      </c>
      <c r="K222" s="13">
        <v>51</v>
      </c>
      <c r="L222" s="13">
        <v>57</v>
      </c>
      <c r="M222" s="13">
        <v>61</v>
      </c>
      <c r="N222" s="13">
        <v>67</v>
      </c>
      <c r="O222" s="13">
        <v>69</v>
      </c>
      <c r="P222" s="13">
        <v>71</v>
      </c>
      <c r="Q222" s="66">
        <v>36.809045537122785</v>
      </c>
      <c r="R222" s="13">
        <v>43.97267983471496</v>
      </c>
      <c r="S222" s="13">
        <v>46.369604525851365</v>
      </c>
      <c r="T222" s="13">
        <v>43.707730408446899</v>
      </c>
      <c r="U222" s="13">
        <v>44.373520727517942</v>
      </c>
      <c r="V222" s="13">
        <v>41.155918681246433</v>
      </c>
      <c r="W222" s="14">
        <v>36.627342338360819</v>
      </c>
      <c r="X222" s="5">
        <v>20</v>
      </c>
      <c r="Y222" s="5">
        <v>15</v>
      </c>
      <c r="Z222" s="5">
        <v>15</v>
      </c>
      <c r="AA222" s="5">
        <v>16</v>
      </c>
      <c r="AB222" s="5">
        <v>16</v>
      </c>
      <c r="AC222" s="5">
        <v>17</v>
      </c>
      <c r="AD222" s="6">
        <v>20</v>
      </c>
    </row>
    <row r="223" spans="2:30" x14ac:dyDescent="0.25">
      <c r="B223" s="4" t="s">
        <v>47</v>
      </c>
      <c r="C223" s="66" t="s">
        <v>245</v>
      </c>
      <c r="D223" s="13" t="s">
        <v>397</v>
      </c>
      <c r="E223" s="13" t="s">
        <v>414</v>
      </c>
      <c r="F223" s="13" t="s">
        <v>234</v>
      </c>
      <c r="G223" s="13" t="s">
        <v>163</v>
      </c>
      <c r="H223" s="13" t="s">
        <v>174</v>
      </c>
      <c r="I223" s="14" t="s">
        <v>547</v>
      </c>
      <c r="J223" s="13">
        <v>39</v>
      </c>
      <c r="K223" s="13">
        <v>46</v>
      </c>
      <c r="L223" s="13">
        <v>50</v>
      </c>
      <c r="M223" s="13">
        <v>57</v>
      </c>
      <c r="N223" s="13">
        <v>60</v>
      </c>
      <c r="O223" s="13">
        <v>62</v>
      </c>
      <c r="P223" s="13">
        <v>63</v>
      </c>
      <c r="Q223" s="66">
        <v>38.374074032718383</v>
      </c>
      <c r="R223" s="13">
        <v>35.362222455736323</v>
      </c>
      <c r="S223" s="13">
        <v>34.410654728655857</v>
      </c>
      <c r="T223" s="13">
        <v>36.129943373458211</v>
      </c>
      <c r="U223" s="13">
        <v>28.391057866554366</v>
      </c>
      <c r="V223" s="13">
        <v>23.646424353209106</v>
      </c>
      <c r="W223" s="14">
        <v>16.249959234910634</v>
      </c>
      <c r="X223" s="5">
        <v>19</v>
      </c>
      <c r="Y223" s="5">
        <v>22</v>
      </c>
      <c r="Z223" s="5">
        <v>22</v>
      </c>
      <c r="AA223" s="5">
        <v>20</v>
      </c>
      <c r="AB223" s="5">
        <v>22</v>
      </c>
      <c r="AC223" s="5">
        <v>25</v>
      </c>
      <c r="AD223" s="6">
        <v>26</v>
      </c>
    </row>
    <row r="224" spans="2:30" x14ac:dyDescent="0.25">
      <c r="B224" s="4" t="s">
        <v>48</v>
      </c>
      <c r="C224" s="66" t="s">
        <v>242</v>
      </c>
      <c r="D224" s="13" t="s">
        <v>242</v>
      </c>
      <c r="E224" s="13" t="s">
        <v>596</v>
      </c>
      <c r="F224" s="13" t="s">
        <v>242</v>
      </c>
      <c r="G224" s="13" t="s">
        <v>611</v>
      </c>
      <c r="H224" s="13" t="s">
        <v>612</v>
      </c>
      <c r="I224" s="14" t="s">
        <v>597</v>
      </c>
      <c r="J224" s="13">
        <v>13</v>
      </c>
      <c r="K224" s="13">
        <v>24</v>
      </c>
      <c r="L224" s="13">
        <v>23</v>
      </c>
      <c r="M224" s="13">
        <v>31</v>
      </c>
      <c r="N224" s="13">
        <v>50</v>
      </c>
      <c r="O224" s="13">
        <v>56</v>
      </c>
      <c r="P224" s="13">
        <v>58</v>
      </c>
      <c r="Q224" s="66">
        <v>0</v>
      </c>
      <c r="R224" s="13">
        <v>0</v>
      </c>
      <c r="S224" s="13">
        <v>0</v>
      </c>
      <c r="T224" s="13">
        <v>0</v>
      </c>
      <c r="U224" s="13">
        <v>5.5589680651778295</v>
      </c>
      <c r="V224" s="13">
        <v>8.6382863577485338</v>
      </c>
      <c r="W224" s="14">
        <v>3.514094795254266</v>
      </c>
      <c r="X224" s="5">
        <v>28</v>
      </c>
      <c r="Y224" s="5">
        <v>28</v>
      </c>
      <c r="Z224" s="5">
        <v>27</v>
      </c>
      <c r="AA224" s="5">
        <v>28</v>
      </c>
      <c r="AB224" s="5">
        <v>28</v>
      </c>
      <c r="AC224" s="5">
        <v>26</v>
      </c>
      <c r="AD224" s="6">
        <v>27</v>
      </c>
    </row>
    <row r="225" spans="2:30" x14ac:dyDescent="0.25">
      <c r="B225" s="4" t="s">
        <v>56</v>
      </c>
      <c r="C225" s="66" t="s">
        <v>226</v>
      </c>
      <c r="D225" s="13" t="s">
        <v>170</v>
      </c>
      <c r="E225" s="13" t="s">
        <v>549</v>
      </c>
      <c r="F225" s="13" t="s">
        <v>396</v>
      </c>
      <c r="G225" s="13" t="s">
        <v>613</v>
      </c>
      <c r="H225" s="13" t="s">
        <v>387</v>
      </c>
      <c r="I225" s="14" t="s">
        <v>202</v>
      </c>
      <c r="J225" s="13">
        <v>35</v>
      </c>
      <c r="K225" s="13">
        <v>42</v>
      </c>
      <c r="L225" s="13">
        <v>49</v>
      </c>
      <c r="M225" s="13">
        <v>55</v>
      </c>
      <c r="N225" s="13">
        <v>72</v>
      </c>
      <c r="O225" s="13">
        <v>70</v>
      </c>
      <c r="P225" s="13">
        <v>76</v>
      </c>
      <c r="Q225" s="66">
        <v>32.113960050335976</v>
      </c>
      <c r="R225" s="13">
        <v>28.473856552553418</v>
      </c>
      <c r="S225" s="13">
        <v>32.702233329056497</v>
      </c>
      <c r="T225" s="13">
        <v>32.34104985596386</v>
      </c>
      <c r="U225" s="13">
        <v>55.789565628206205</v>
      </c>
      <c r="V225" s="13">
        <v>43.657275013823195</v>
      </c>
      <c r="W225" s="14">
        <v>49.363206778017179</v>
      </c>
      <c r="X225" s="5">
        <v>22</v>
      </c>
      <c r="Y225" s="5">
        <v>23</v>
      </c>
      <c r="Z225" s="5">
        <v>23</v>
      </c>
      <c r="AA225" s="5">
        <v>24</v>
      </c>
      <c r="AB225" s="5">
        <v>13</v>
      </c>
      <c r="AC225" s="5">
        <v>14</v>
      </c>
      <c r="AD225" s="6">
        <v>14</v>
      </c>
    </row>
    <row r="226" spans="2:30" x14ac:dyDescent="0.25">
      <c r="B226" s="4" t="s">
        <v>49</v>
      </c>
      <c r="C226" s="66" t="s">
        <v>613</v>
      </c>
      <c r="D226" s="13" t="s">
        <v>385</v>
      </c>
      <c r="E226" s="13" t="s">
        <v>528</v>
      </c>
      <c r="F226" s="13" t="s">
        <v>236</v>
      </c>
      <c r="G226" s="13" t="s">
        <v>380</v>
      </c>
      <c r="H226" s="13" t="s">
        <v>217</v>
      </c>
      <c r="I226" s="14" t="s">
        <v>564</v>
      </c>
      <c r="J226" s="13">
        <v>50</v>
      </c>
      <c r="K226" s="13">
        <v>56</v>
      </c>
      <c r="L226" s="13">
        <v>62</v>
      </c>
      <c r="M226" s="13">
        <v>67</v>
      </c>
      <c r="N226" s="13">
        <v>73</v>
      </c>
      <c r="O226" s="13">
        <v>74</v>
      </c>
      <c r="P226" s="13">
        <v>75</v>
      </c>
      <c r="Q226" s="66">
        <v>55.589387484270006</v>
      </c>
      <c r="R226" s="13">
        <v>52.58313721369359</v>
      </c>
      <c r="S226" s="13">
        <v>54.911711523848155</v>
      </c>
      <c r="T226" s="13">
        <v>55.074410960929931</v>
      </c>
      <c r="U226" s="13">
        <v>58.072774608343863</v>
      </c>
      <c r="V226" s="13">
        <v>53.662700344130243</v>
      </c>
      <c r="W226" s="14">
        <v>46.816033890085912</v>
      </c>
      <c r="X226" s="5">
        <v>13</v>
      </c>
      <c r="Y226" s="5">
        <v>13</v>
      </c>
      <c r="Z226" s="5">
        <v>13</v>
      </c>
      <c r="AA226" s="5">
        <v>12</v>
      </c>
      <c r="AB226" s="5">
        <v>11</v>
      </c>
      <c r="AC226" s="5">
        <v>12</v>
      </c>
      <c r="AD226" s="6">
        <v>16</v>
      </c>
    </row>
    <row r="227" spans="2:30" x14ac:dyDescent="0.25">
      <c r="B227" s="4" t="s">
        <v>50</v>
      </c>
      <c r="C227" s="66" t="s">
        <v>462</v>
      </c>
      <c r="D227" s="13" t="s">
        <v>393</v>
      </c>
      <c r="E227" s="13" t="s">
        <v>185</v>
      </c>
      <c r="F227" s="13" t="s">
        <v>184</v>
      </c>
      <c r="G227" s="13" t="s">
        <v>197</v>
      </c>
      <c r="H227" s="13" t="s">
        <v>189</v>
      </c>
      <c r="I227" s="14" t="s">
        <v>238</v>
      </c>
      <c r="J227" s="13">
        <v>44</v>
      </c>
      <c r="K227" s="13">
        <v>50</v>
      </c>
      <c r="L227" s="13">
        <v>56</v>
      </c>
      <c r="M227" s="13">
        <v>61</v>
      </c>
      <c r="N227" s="13">
        <v>65</v>
      </c>
      <c r="O227" s="13">
        <v>69</v>
      </c>
      <c r="P227" s="13">
        <v>73</v>
      </c>
      <c r="Q227" s="66">
        <v>46.199216510696395</v>
      </c>
      <c r="R227" s="13">
        <v>42.250588358919231</v>
      </c>
      <c r="S227" s="13">
        <v>44.661183126252006</v>
      </c>
      <c r="T227" s="13">
        <v>43.707730408446899</v>
      </c>
      <c r="U227" s="13">
        <v>39.807102767242633</v>
      </c>
      <c r="V227" s="13">
        <v>41.155918681246433</v>
      </c>
      <c r="W227" s="14">
        <v>41.721688114223362</v>
      </c>
      <c r="X227" s="5">
        <v>14</v>
      </c>
      <c r="Y227" s="5">
        <v>17</v>
      </c>
      <c r="Z227" s="5">
        <v>16</v>
      </c>
      <c r="AA227" s="5">
        <v>16</v>
      </c>
      <c r="AB227" s="5">
        <v>18</v>
      </c>
      <c r="AC227" s="5">
        <v>17</v>
      </c>
      <c r="AD227" s="6">
        <v>18</v>
      </c>
    </row>
    <row r="228" spans="2:30" x14ac:dyDescent="0.25">
      <c r="B228" s="4" t="s">
        <v>51</v>
      </c>
      <c r="C228" s="66" t="s">
        <v>186</v>
      </c>
      <c r="D228" s="13" t="s">
        <v>538</v>
      </c>
      <c r="E228" s="13" t="s">
        <v>551</v>
      </c>
      <c r="F228" s="13" t="s">
        <v>551</v>
      </c>
      <c r="G228" s="13" t="s">
        <v>552</v>
      </c>
      <c r="H228" s="13" t="s">
        <v>300</v>
      </c>
      <c r="I228" s="14" t="s">
        <v>586</v>
      </c>
      <c r="J228" s="13">
        <v>71</v>
      </c>
      <c r="K228" s="13">
        <v>79</v>
      </c>
      <c r="L228" s="13">
        <v>83</v>
      </c>
      <c r="M228" s="13">
        <v>86</v>
      </c>
      <c r="N228" s="13">
        <v>87</v>
      </c>
      <c r="O228" s="13">
        <v>87</v>
      </c>
      <c r="P228" s="13">
        <v>87</v>
      </c>
      <c r="Q228" s="66">
        <v>88.454985891777653</v>
      </c>
      <c r="R228" s="13">
        <v>92.191241156995304</v>
      </c>
      <c r="S228" s="13">
        <v>90.788560915434658</v>
      </c>
      <c r="T228" s="13">
        <v>91.068899377126201</v>
      </c>
      <c r="U228" s="13">
        <v>90.037700330271008</v>
      </c>
      <c r="V228" s="13">
        <v>86.180332667628136</v>
      </c>
      <c r="W228" s="14">
        <v>77.38210854526119</v>
      </c>
      <c r="X228" s="5">
        <v>3</v>
      </c>
      <c r="Y228" s="5">
        <v>1</v>
      </c>
      <c r="Z228" s="5">
        <v>1</v>
      </c>
      <c r="AA228" s="5">
        <v>1</v>
      </c>
      <c r="AB228" s="5">
        <v>1</v>
      </c>
      <c r="AC228" s="5">
        <v>2</v>
      </c>
      <c r="AD228" s="6">
        <v>5</v>
      </c>
    </row>
    <row r="229" spans="2:30" ht="15.75" thickBot="1" x14ac:dyDescent="0.3">
      <c r="B229" s="7" t="s">
        <v>54</v>
      </c>
      <c r="C229" s="67" t="s">
        <v>247</v>
      </c>
      <c r="D229" s="15" t="s">
        <v>229</v>
      </c>
      <c r="E229" s="15" t="s">
        <v>607</v>
      </c>
      <c r="F229" s="15" t="s">
        <v>428</v>
      </c>
      <c r="G229" s="15" t="s">
        <v>146</v>
      </c>
      <c r="H229" s="15" t="s">
        <v>300</v>
      </c>
      <c r="I229" s="16" t="s">
        <v>614</v>
      </c>
      <c r="J229" s="15">
        <v>62</v>
      </c>
      <c r="K229" s="15">
        <v>69</v>
      </c>
      <c r="L229" s="15">
        <v>74.5</v>
      </c>
      <c r="M229" s="15">
        <v>80</v>
      </c>
      <c r="N229" s="15">
        <v>86</v>
      </c>
      <c r="O229" s="15">
        <v>87</v>
      </c>
      <c r="P229" s="15">
        <v>88</v>
      </c>
      <c r="Q229" s="67">
        <v>74.369729431417227</v>
      </c>
      <c r="R229" s="15">
        <v>74.970326399038044</v>
      </c>
      <c r="S229" s="15">
        <v>76.266979018840118</v>
      </c>
      <c r="T229" s="15">
        <v>79.702218824643168</v>
      </c>
      <c r="U229" s="15">
        <v>87.75449135013335</v>
      </c>
      <c r="V229" s="15">
        <v>86.180332667628136</v>
      </c>
      <c r="W229" s="16">
        <v>79.929281433192457</v>
      </c>
      <c r="X229" s="8">
        <v>5</v>
      </c>
      <c r="Y229" s="8">
        <v>6</v>
      </c>
      <c r="Z229" s="8">
        <v>6</v>
      </c>
      <c r="AA229" s="8">
        <v>5</v>
      </c>
      <c r="AB229" s="8">
        <v>2</v>
      </c>
      <c r="AC229" s="8">
        <v>2</v>
      </c>
      <c r="AD229" s="9">
        <v>4</v>
      </c>
    </row>
    <row r="231" spans="2:30" ht="15.75" thickBot="1" x14ac:dyDescent="0.3"/>
    <row r="232" spans="2:30" ht="15.75" thickBot="1" x14ac:dyDescent="0.3">
      <c r="B232" s="68" t="s">
        <v>64</v>
      </c>
      <c r="C232" s="139" t="s">
        <v>68</v>
      </c>
      <c r="D232" s="140"/>
      <c r="E232" s="140"/>
      <c r="F232" s="140"/>
      <c r="G232" s="140"/>
      <c r="H232" s="140"/>
      <c r="I232" s="141"/>
      <c r="J232" s="139"/>
      <c r="K232" s="140"/>
      <c r="L232" s="140"/>
      <c r="M232" s="140"/>
      <c r="N232" s="140"/>
      <c r="O232" s="140"/>
      <c r="P232" s="141"/>
      <c r="Q232" s="139" t="s">
        <v>68</v>
      </c>
      <c r="R232" s="140"/>
      <c r="S232" s="140"/>
      <c r="T232" s="140"/>
      <c r="U232" s="140"/>
      <c r="V232" s="140"/>
      <c r="W232" s="141"/>
      <c r="X232" s="139" t="s">
        <v>69</v>
      </c>
      <c r="Y232" s="140"/>
      <c r="Z232" s="140"/>
      <c r="AA232" s="140"/>
      <c r="AB232" s="140"/>
      <c r="AC232" s="140"/>
      <c r="AD232" s="141"/>
    </row>
    <row r="233" spans="2:30" x14ac:dyDescent="0.25">
      <c r="B233" s="68"/>
      <c r="C233" s="1">
        <v>2009</v>
      </c>
      <c r="D233" s="2">
        <v>2010</v>
      </c>
      <c r="E233" s="2">
        <v>2011</v>
      </c>
      <c r="F233" s="2">
        <v>2012</v>
      </c>
      <c r="G233" s="2">
        <v>2013</v>
      </c>
      <c r="H233" s="2">
        <v>2014</v>
      </c>
      <c r="I233" s="3">
        <v>2015</v>
      </c>
      <c r="J233" s="2">
        <v>2009</v>
      </c>
      <c r="K233" s="2">
        <v>2010</v>
      </c>
      <c r="L233" s="2">
        <v>2011</v>
      </c>
      <c r="M233" s="2">
        <v>2012</v>
      </c>
      <c r="N233" s="2">
        <v>2013</v>
      </c>
      <c r="O233" s="2">
        <v>2014</v>
      </c>
      <c r="P233" s="2">
        <v>2015</v>
      </c>
      <c r="Q233" s="1">
        <v>2009</v>
      </c>
      <c r="R233" s="2">
        <v>2010</v>
      </c>
      <c r="S233" s="2">
        <v>2011</v>
      </c>
      <c r="T233" s="2">
        <v>2012</v>
      </c>
      <c r="U233" s="2">
        <v>2013</v>
      </c>
      <c r="V233" s="2">
        <v>2014</v>
      </c>
      <c r="W233" s="3">
        <v>2015</v>
      </c>
      <c r="X233" s="2">
        <v>2009</v>
      </c>
      <c r="Y233" s="2">
        <v>2010</v>
      </c>
      <c r="Z233" s="2">
        <v>2011</v>
      </c>
      <c r="AA233" s="2">
        <v>2012</v>
      </c>
      <c r="AB233" s="2">
        <v>2013</v>
      </c>
      <c r="AC233" s="2">
        <v>2014</v>
      </c>
      <c r="AD233" s="3">
        <v>2015</v>
      </c>
    </row>
    <row r="234" spans="2:30" x14ac:dyDescent="0.25">
      <c r="B234" s="69" t="s">
        <v>64</v>
      </c>
      <c r="C234" s="64">
        <v>2006</v>
      </c>
      <c r="D234" s="63">
        <v>2007</v>
      </c>
      <c r="E234" s="63">
        <v>2008</v>
      </c>
      <c r="F234" s="63">
        <v>2009</v>
      </c>
      <c r="G234" s="63">
        <v>2010</v>
      </c>
      <c r="H234" s="63">
        <v>2011</v>
      </c>
      <c r="I234" s="65">
        <v>2012</v>
      </c>
      <c r="J234" s="63">
        <v>2006</v>
      </c>
      <c r="K234" s="63">
        <v>2007</v>
      </c>
      <c r="L234" s="63">
        <v>2008</v>
      </c>
      <c r="M234" s="63">
        <v>2009</v>
      </c>
      <c r="N234" s="63">
        <v>2010</v>
      </c>
      <c r="O234" s="63">
        <v>2011</v>
      </c>
      <c r="P234" s="63">
        <v>2012</v>
      </c>
      <c r="Q234" s="64">
        <v>2006</v>
      </c>
      <c r="R234" s="63">
        <v>2007</v>
      </c>
      <c r="S234" s="63">
        <v>2008</v>
      </c>
      <c r="T234" s="63">
        <v>2009</v>
      </c>
      <c r="U234" s="63">
        <v>2010</v>
      </c>
      <c r="V234" s="63">
        <v>2011</v>
      </c>
      <c r="W234" s="65">
        <v>2012</v>
      </c>
      <c r="X234" s="63">
        <v>2006</v>
      </c>
      <c r="Y234" s="63">
        <v>2007</v>
      </c>
      <c r="Z234" s="63">
        <v>2008</v>
      </c>
      <c r="AA234" s="63">
        <v>2009</v>
      </c>
      <c r="AB234" s="63">
        <v>2010</v>
      </c>
      <c r="AC234" s="63">
        <v>2011</v>
      </c>
      <c r="AD234" s="65">
        <v>2012</v>
      </c>
    </row>
    <row r="235" spans="2:30" x14ac:dyDescent="0.25">
      <c r="B235" s="4" t="s">
        <v>27</v>
      </c>
      <c r="C235" s="66" t="s">
        <v>522</v>
      </c>
      <c r="D235" s="13" t="s">
        <v>615</v>
      </c>
      <c r="E235" s="13" t="s">
        <v>616</v>
      </c>
      <c r="F235" s="13" t="s">
        <v>566</v>
      </c>
      <c r="G235" s="13" t="s">
        <v>388</v>
      </c>
      <c r="H235" s="13" t="s">
        <v>260</v>
      </c>
      <c r="I235" s="14" t="s">
        <v>260</v>
      </c>
      <c r="J235" s="13">
        <v>5.47</v>
      </c>
      <c r="K235" s="13">
        <v>5.29</v>
      </c>
      <c r="L235" s="13">
        <v>5.42</v>
      </c>
      <c r="M235" s="13">
        <v>5.86</v>
      </c>
      <c r="N235" s="13">
        <v>5.7899999999999991</v>
      </c>
      <c r="O235" s="13">
        <v>5.6899999999999995</v>
      </c>
      <c r="P235" s="13">
        <v>5.0479309825585963</v>
      </c>
      <c r="Q235" s="66">
        <v>52.502819458475962</v>
      </c>
      <c r="R235" s="13">
        <v>51.281334038804083</v>
      </c>
      <c r="S235" s="13">
        <v>49.546729368482438</v>
      </c>
      <c r="T235" s="13">
        <v>51.259259514018559</v>
      </c>
      <c r="U235" s="13">
        <v>51.684576382797765</v>
      </c>
      <c r="V235" s="13">
        <v>51.292514386735029</v>
      </c>
      <c r="W235" s="14">
        <v>51.237269820110328</v>
      </c>
      <c r="X235" s="5">
        <v>14</v>
      </c>
      <c r="Y235" s="5">
        <v>14</v>
      </c>
      <c r="Z235" s="5">
        <v>15</v>
      </c>
      <c r="AA235" s="5">
        <v>15</v>
      </c>
      <c r="AB235" s="5">
        <v>14</v>
      </c>
      <c r="AC235" s="5">
        <v>13</v>
      </c>
      <c r="AD235" s="6">
        <v>13</v>
      </c>
    </row>
    <row r="236" spans="2:30" x14ac:dyDescent="0.25">
      <c r="B236" s="4" t="s">
        <v>28</v>
      </c>
      <c r="C236" s="66" t="s">
        <v>334</v>
      </c>
      <c r="D236" s="13" t="s">
        <v>167</v>
      </c>
      <c r="E236" s="13" t="s">
        <v>360</v>
      </c>
      <c r="F236" s="13" t="s">
        <v>371</v>
      </c>
      <c r="G236" s="13" t="s">
        <v>617</v>
      </c>
      <c r="H236" s="13" t="s">
        <v>372</v>
      </c>
      <c r="I236" s="14" t="s">
        <v>459</v>
      </c>
      <c r="J236" s="13">
        <v>6.04</v>
      </c>
      <c r="K236" s="13">
        <v>6.05</v>
      </c>
      <c r="L236" s="13">
        <v>6.51</v>
      </c>
      <c r="M236" s="13">
        <v>6.63</v>
      </c>
      <c r="N236" s="13">
        <v>6.6</v>
      </c>
      <c r="O236" s="13">
        <v>6.53</v>
      </c>
      <c r="P236" s="13">
        <v>6.0665016191317749</v>
      </c>
      <c r="Q236" s="66">
        <v>68.771882347927317</v>
      </c>
      <c r="R236" s="13">
        <v>72.839620660737026</v>
      </c>
      <c r="S236" s="13">
        <v>80.424381924498007</v>
      </c>
      <c r="T236" s="13">
        <v>70.767903965554581</v>
      </c>
      <c r="U236" s="13">
        <v>70.144487454370648</v>
      </c>
      <c r="V236" s="13">
        <v>68.526462680026185</v>
      </c>
      <c r="W236" s="14">
        <v>73.786127391864497</v>
      </c>
      <c r="X236" s="5">
        <v>5</v>
      </c>
      <c r="Y236" s="5">
        <v>5</v>
      </c>
      <c r="Z236" s="5">
        <v>3</v>
      </c>
      <c r="AA236" s="5">
        <v>4</v>
      </c>
      <c r="AB236" s="5">
        <v>4</v>
      </c>
      <c r="AC236" s="5">
        <v>4</v>
      </c>
      <c r="AD236" s="6">
        <v>6</v>
      </c>
    </row>
    <row r="237" spans="2:30" x14ac:dyDescent="0.25">
      <c r="B237" s="4" t="s">
        <v>29</v>
      </c>
      <c r="C237" s="66" t="s">
        <v>243</v>
      </c>
      <c r="D237" s="13" t="s">
        <v>618</v>
      </c>
      <c r="E237" s="13" t="s">
        <v>619</v>
      </c>
      <c r="F237" s="13" t="s">
        <v>620</v>
      </c>
      <c r="G237" s="13" t="s">
        <v>532</v>
      </c>
      <c r="H237" s="13" t="s">
        <v>243</v>
      </c>
      <c r="I237" s="14" t="s">
        <v>532</v>
      </c>
      <c r="J237" s="13">
        <v>4.09</v>
      </c>
      <c r="K237" s="13">
        <v>3.9</v>
      </c>
      <c r="L237" s="13">
        <v>4.3900000000000006</v>
      </c>
      <c r="M237" s="13">
        <v>4.54</v>
      </c>
      <c r="N237" s="13">
        <v>3.98</v>
      </c>
      <c r="O237" s="13">
        <v>3.82</v>
      </c>
      <c r="P237" s="13">
        <v>3.1842293661594994</v>
      </c>
      <c r="Q237" s="66">
        <v>13.114561936646375</v>
      </c>
      <c r="R237" s="13">
        <v>11.852362453953027</v>
      </c>
      <c r="S237" s="13">
        <v>20.368764109128289</v>
      </c>
      <c r="T237" s="13">
        <v>17.815869025671063</v>
      </c>
      <c r="U237" s="13">
        <v>10.434651642616437</v>
      </c>
      <c r="V237" s="13">
        <v>12.926462829051182</v>
      </c>
      <c r="W237" s="14">
        <v>9.9791176650319429</v>
      </c>
      <c r="X237" s="5">
        <v>26</v>
      </c>
      <c r="Y237" s="5">
        <v>25</v>
      </c>
      <c r="Z237" s="5">
        <v>24</v>
      </c>
      <c r="AA237" s="5">
        <v>24</v>
      </c>
      <c r="AB237" s="5">
        <v>26</v>
      </c>
      <c r="AC237" s="5">
        <v>26</v>
      </c>
      <c r="AD237" s="6">
        <v>26</v>
      </c>
    </row>
    <row r="238" spans="2:30" x14ac:dyDescent="0.25">
      <c r="B238" s="4" t="s">
        <v>30</v>
      </c>
      <c r="C238" s="66" t="s">
        <v>580</v>
      </c>
      <c r="D238" s="13" t="s">
        <v>196</v>
      </c>
      <c r="E238" s="13" t="s">
        <v>163</v>
      </c>
      <c r="F238" s="13" t="s">
        <v>290</v>
      </c>
      <c r="G238" s="13" t="s">
        <v>348</v>
      </c>
      <c r="H238" s="13" t="s">
        <v>163</v>
      </c>
      <c r="I238" s="14" t="s">
        <v>161</v>
      </c>
      <c r="J238" s="13">
        <v>4.3899999999999997</v>
      </c>
      <c r="K238" s="13">
        <v>4.34</v>
      </c>
      <c r="L238" s="13">
        <v>4.6500000000000004</v>
      </c>
      <c r="M238" s="13">
        <v>4.76</v>
      </c>
      <c r="N238" s="13">
        <v>4.5500000000000007</v>
      </c>
      <c r="O238" s="13">
        <v>4.5500000000000007</v>
      </c>
      <c r="P238" s="13">
        <v>4.0365704693570512</v>
      </c>
      <c r="Q238" s="66">
        <v>21.677226615304978</v>
      </c>
      <c r="R238" s="13">
        <v>24.333475761387891</v>
      </c>
      <c r="S238" s="13">
        <v>27.734075727994384</v>
      </c>
      <c r="T238" s="13">
        <v>23.389767440395641</v>
      </c>
      <c r="U238" s="13">
        <v>23.424959433723284</v>
      </c>
      <c r="V238" s="13">
        <v>27.903584560125648</v>
      </c>
      <c r="W238" s="14">
        <v>28.848028124903241</v>
      </c>
      <c r="X238" s="5">
        <v>24</v>
      </c>
      <c r="Y238" s="5">
        <v>24</v>
      </c>
      <c r="Z238" s="5">
        <v>22</v>
      </c>
      <c r="AA238" s="5">
        <v>22</v>
      </c>
      <c r="AB238" s="5">
        <v>24</v>
      </c>
      <c r="AC238" s="5">
        <v>22</v>
      </c>
      <c r="AD238" s="6">
        <v>22</v>
      </c>
    </row>
    <row r="239" spans="2:30" x14ac:dyDescent="0.25">
      <c r="B239" s="4" t="s">
        <v>31</v>
      </c>
      <c r="C239" s="66" t="s">
        <v>147</v>
      </c>
      <c r="D239" s="13" t="s">
        <v>147</v>
      </c>
      <c r="E239" s="13" t="s">
        <v>147</v>
      </c>
      <c r="F239" s="13" t="s">
        <v>147</v>
      </c>
      <c r="G239" s="13" t="s">
        <v>147</v>
      </c>
      <c r="H239" s="13" t="s">
        <v>147</v>
      </c>
      <c r="I239" s="14" t="s">
        <v>147</v>
      </c>
      <c r="J239" s="13">
        <v>7.32</v>
      </c>
      <c r="K239" s="13">
        <v>7.26</v>
      </c>
      <c r="L239" s="13">
        <v>7.86</v>
      </c>
      <c r="M239" s="13">
        <v>8.3699999999999992</v>
      </c>
      <c r="N239" s="13">
        <v>8.34</v>
      </c>
      <c r="O239" s="13">
        <v>8.3699999999999992</v>
      </c>
      <c r="P239" s="13">
        <v>7.316432350562307</v>
      </c>
      <c r="Q239" s="66">
        <v>100</v>
      </c>
      <c r="R239" s="13">
        <v>100</v>
      </c>
      <c r="S239" s="13">
        <v>100</v>
      </c>
      <c r="T239" s="13">
        <v>100</v>
      </c>
      <c r="U239" s="13">
        <v>100</v>
      </c>
      <c r="V239" s="13">
        <v>100</v>
      </c>
      <c r="W239" s="14">
        <v>100</v>
      </c>
      <c r="X239" s="5">
        <v>1</v>
      </c>
      <c r="Y239" s="5">
        <v>1</v>
      </c>
      <c r="Z239" s="5">
        <v>1</v>
      </c>
      <c r="AA239" s="5">
        <v>1</v>
      </c>
      <c r="AB239" s="5">
        <v>1</v>
      </c>
      <c r="AC239" s="5">
        <v>1</v>
      </c>
      <c r="AD239" s="6">
        <v>1</v>
      </c>
    </row>
    <row r="240" spans="2:30" x14ac:dyDescent="0.25">
      <c r="B240" s="4" t="s">
        <v>32</v>
      </c>
      <c r="C240" s="66" t="s">
        <v>452</v>
      </c>
      <c r="D240" s="13" t="s">
        <v>182</v>
      </c>
      <c r="E240" s="13" t="s">
        <v>263</v>
      </c>
      <c r="F240" s="13" t="s">
        <v>455</v>
      </c>
      <c r="G240" s="13" t="s">
        <v>319</v>
      </c>
      <c r="H240" s="13" t="s">
        <v>402</v>
      </c>
      <c r="I240" s="14" t="s">
        <v>548</v>
      </c>
      <c r="J240" s="13">
        <v>4.78</v>
      </c>
      <c r="K240" s="13">
        <v>4.4000000000000004</v>
      </c>
      <c r="L240" s="13">
        <v>4.3099999999999996</v>
      </c>
      <c r="M240" s="13">
        <v>4.75</v>
      </c>
      <c r="N240" s="13">
        <v>4.6800000000000006</v>
      </c>
      <c r="O240" s="13">
        <v>4.97</v>
      </c>
      <c r="P240" s="13">
        <v>4.2995122788983151</v>
      </c>
      <c r="Q240" s="66">
        <v>32.808690697561183</v>
      </c>
      <c r="R240" s="13">
        <v>26.035445757856294</v>
      </c>
      <c r="S240" s="13">
        <v>18.102514380246387</v>
      </c>
      <c r="T240" s="13">
        <v>23.13640842154453</v>
      </c>
      <c r="U240" s="13">
        <v>26.387661210642385</v>
      </c>
      <c r="V240" s="13">
        <v>36.520558706771197</v>
      </c>
      <c r="W240" s="14">
        <v>34.668966997589173</v>
      </c>
      <c r="X240" s="5">
        <v>19</v>
      </c>
      <c r="Y240" s="5">
        <v>23</v>
      </c>
      <c r="Z240" s="5">
        <v>25</v>
      </c>
      <c r="AA240" s="5">
        <v>23</v>
      </c>
      <c r="AB240" s="5">
        <v>21</v>
      </c>
      <c r="AC240" s="5">
        <v>21</v>
      </c>
      <c r="AD240" s="6">
        <v>20</v>
      </c>
    </row>
    <row r="241" spans="2:30" x14ac:dyDescent="0.25">
      <c r="B241" s="4" t="s">
        <v>33</v>
      </c>
      <c r="C241" s="66" t="s">
        <v>147</v>
      </c>
      <c r="D241" s="13" t="s">
        <v>147</v>
      </c>
      <c r="E241" s="13" t="s">
        <v>232</v>
      </c>
      <c r="F241" s="13" t="s">
        <v>147</v>
      </c>
      <c r="G241" s="13" t="s">
        <v>147</v>
      </c>
      <c r="H241" s="13" t="s">
        <v>621</v>
      </c>
      <c r="I241" s="14" t="s">
        <v>232</v>
      </c>
      <c r="J241" s="13">
        <v>7.24</v>
      </c>
      <c r="K241" s="13">
        <v>7.08</v>
      </c>
      <c r="L241" s="13">
        <v>7</v>
      </c>
      <c r="M241" s="13">
        <v>7.83</v>
      </c>
      <c r="N241" s="13">
        <v>7.95</v>
      </c>
      <c r="O241" s="13">
        <v>7.88</v>
      </c>
      <c r="P241" s="13">
        <v>6.9908077579194625</v>
      </c>
      <c r="Q241" s="66">
        <v>100</v>
      </c>
      <c r="R241" s="13">
        <v>100</v>
      </c>
      <c r="S241" s="13">
        <v>94.305161513899506</v>
      </c>
      <c r="T241" s="13">
        <v>100</v>
      </c>
      <c r="U241" s="13">
        <v>100</v>
      </c>
      <c r="V241" s="13">
        <v>96.223879579958378</v>
      </c>
      <c r="W241" s="14">
        <v>94.248181497745065</v>
      </c>
      <c r="X241" s="5">
        <v>1</v>
      </c>
      <c r="Y241" s="5">
        <v>1</v>
      </c>
      <c r="Z241" s="5">
        <v>2</v>
      </c>
      <c r="AA241" s="5">
        <v>1</v>
      </c>
      <c r="AB241" s="5">
        <v>1</v>
      </c>
      <c r="AC241" s="5">
        <v>3</v>
      </c>
      <c r="AD241" s="6">
        <v>2</v>
      </c>
    </row>
    <row r="242" spans="2:30" x14ac:dyDescent="0.25">
      <c r="B242" s="4" t="s">
        <v>34</v>
      </c>
      <c r="C242" s="66" t="s">
        <v>494</v>
      </c>
      <c r="D242" s="13" t="s">
        <v>449</v>
      </c>
      <c r="E242" s="13" t="s">
        <v>160</v>
      </c>
      <c r="F242" s="13" t="s">
        <v>380</v>
      </c>
      <c r="G242" s="13" t="s">
        <v>206</v>
      </c>
      <c r="H242" s="13" t="s">
        <v>239</v>
      </c>
      <c r="I242" s="14" t="s">
        <v>190</v>
      </c>
      <c r="J242" s="13">
        <v>4.7699999999999996</v>
      </c>
      <c r="K242" s="13">
        <v>4.79</v>
      </c>
      <c r="L242" s="13">
        <v>5.6099999999999994</v>
      </c>
      <c r="M242" s="13">
        <v>6.13</v>
      </c>
      <c r="N242" s="13">
        <v>5.79</v>
      </c>
      <c r="O242" s="13">
        <v>5.2700000000000005</v>
      </c>
      <c r="P242" s="13">
        <v>4.763967566366766</v>
      </c>
      <c r="Q242" s="66">
        <v>32.523268541605873</v>
      </c>
      <c r="R242" s="13">
        <v>37.09825073490083</v>
      </c>
      <c r="S242" s="13">
        <v>54.929072474576884</v>
      </c>
      <c r="T242" s="13">
        <v>58.099953022998719</v>
      </c>
      <c r="U242" s="13">
        <v>51.684576382797786</v>
      </c>
      <c r="V242" s="13">
        <v>42.675540240089475</v>
      </c>
      <c r="W242" s="14">
        <v>44.95095996845351</v>
      </c>
      <c r="X242" s="5">
        <v>21</v>
      </c>
      <c r="Y242" s="5">
        <v>18</v>
      </c>
      <c r="Z242" s="5">
        <v>11</v>
      </c>
      <c r="AA242" s="5">
        <v>11</v>
      </c>
      <c r="AB242" s="5">
        <v>13</v>
      </c>
      <c r="AC242" s="5">
        <v>18</v>
      </c>
      <c r="AD242" s="6">
        <v>15</v>
      </c>
    </row>
    <row r="243" spans="2:30" x14ac:dyDescent="0.25">
      <c r="B243" s="4" t="s">
        <v>35</v>
      </c>
      <c r="C243" s="66" t="s">
        <v>555</v>
      </c>
      <c r="D243" s="13" t="s">
        <v>466</v>
      </c>
      <c r="E243" s="13" t="s">
        <v>141</v>
      </c>
      <c r="F243" s="13" t="s">
        <v>214</v>
      </c>
      <c r="G243" s="13" t="s">
        <v>314</v>
      </c>
      <c r="H243" s="13" t="s">
        <v>295</v>
      </c>
      <c r="I243" s="14" t="s">
        <v>572</v>
      </c>
      <c r="J243" s="13">
        <v>5.8900000000000006</v>
      </c>
      <c r="K243" s="13">
        <v>5.63</v>
      </c>
      <c r="L243" s="13">
        <v>5.8400000000000007</v>
      </c>
      <c r="M243" s="13">
        <v>6.47</v>
      </c>
      <c r="N243" s="13">
        <v>6.5100000000000007</v>
      </c>
      <c r="O243" s="13">
        <v>6.46</v>
      </c>
      <c r="P243" s="13">
        <v>5.7310429081420979</v>
      </c>
      <c r="Q243" s="66">
        <v>64.490550008598035</v>
      </c>
      <c r="R243" s="13">
        <v>60.925830685458294</v>
      </c>
      <c r="S243" s="13">
        <v>61.44454044511231</v>
      </c>
      <c r="T243" s="13">
        <v>66.714159663936698</v>
      </c>
      <c r="U243" s="13">
        <v>68.09338622419591</v>
      </c>
      <c r="V243" s="13">
        <v>67.09030032225192</v>
      </c>
      <c r="W243" s="14">
        <v>66.359827807223922</v>
      </c>
      <c r="X243" s="5">
        <v>8</v>
      </c>
      <c r="Y243" s="5">
        <v>7</v>
      </c>
      <c r="Z243" s="5">
        <v>8</v>
      </c>
      <c r="AA243" s="5">
        <v>6</v>
      </c>
      <c r="AB243" s="5">
        <v>5</v>
      </c>
      <c r="AC243" s="5">
        <v>5</v>
      </c>
      <c r="AD243" s="6">
        <v>8</v>
      </c>
    </row>
    <row r="244" spans="2:30" x14ac:dyDescent="0.25">
      <c r="B244" s="4" t="s">
        <v>36</v>
      </c>
      <c r="C244" s="66" t="s">
        <v>144</v>
      </c>
      <c r="D244" s="13" t="s">
        <v>155</v>
      </c>
      <c r="E244" s="13" t="s">
        <v>144</v>
      </c>
      <c r="F244" s="13" t="s">
        <v>379</v>
      </c>
      <c r="G244" s="13" t="s">
        <v>534</v>
      </c>
      <c r="H244" s="13" t="s">
        <v>299</v>
      </c>
      <c r="I244" s="14" t="s">
        <v>358</v>
      </c>
      <c r="J244" s="13">
        <v>5.93</v>
      </c>
      <c r="K244" s="13">
        <v>5.95</v>
      </c>
      <c r="L244" s="13">
        <v>6.01</v>
      </c>
      <c r="M244" s="13">
        <v>6.29</v>
      </c>
      <c r="N244" s="13">
        <v>6.2799999999999994</v>
      </c>
      <c r="O244" s="13">
        <v>6.11</v>
      </c>
      <c r="P244" s="13">
        <v>5.4417711383568861</v>
      </c>
      <c r="Q244" s="66">
        <v>65.63223863241916</v>
      </c>
      <c r="R244" s="13">
        <v>70.003003999956391</v>
      </c>
      <c r="S244" s="13">
        <v>66.260321118986269</v>
      </c>
      <c r="T244" s="13">
        <v>62.153697324616601</v>
      </c>
      <c r="U244" s="13">
        <v>62.851683080415924</v>
      </c>
      <c r="V244" s="13">
        <v>59.909488533380618</v>
      </c>
      <c r="W244" s="14">
        <v>59.956002974455565</v>
      </c>
      <c r="X244" s="5">
        <v>7</v>
      </c>
      <c r="Y244" s="5">
        <v>6</v>
      </c>
      <c r="Z244" s="5">
        <v>7</v>
      </c>
      <c r="AA244" s="5">
        <v>7</v>
      </c>
      <c r="AB244" s="5">
        <v>9</v>
      </c>
      <c r="AC244" s="5">
        <v>9</v>
      </c>
      <c r="AD244" s="6">
        <v>10</v>
      </c>
    </row>
    <row r="245" spans="2:30" x14ac:dyDescent="0.25">
      <c r="B245" s="4" t="s">
        <v>37</v>
      </c>
      <c r="C245" s="66" t="s">
        <v>452</v>
      </c>
      <c r="D245" s="13" t="s">
        <v>181</v>
      </c>
      <c r="E245" s="13" t="s">
        <v>453</v>
      </c>
      <c r="F245" s="13" t="s">
        <v>404</v>
      </c>
      <c r="G245" s="13" t="s">
        <v>392</v>
      </c>
      <c r="H245" s="13" t="s">
        <v>221</v>
      </c>
      <c r="I245" s="14" t="s">
        <v>394</v>
      </c>
      <c r="J245" s="13">
        <v>4.78</v>
      </c>
      <c r="K245" s="13">
        <v>4.6899999999999995</v>
      </c>
      <c r="L245" s="13">
        <v>4.8</v>
      </c>
      <c r="M245" s="13">
        <v>5.31</v>
      </c>
      <c r="N245" s="13">
        <v>5.25</v>
      </c>
      <c r="O245" s="13">
        <v>5.1099999999999994</v>
      </c>
      <c r="P245" s="13">
        <v>4.5639306534633333</v>
      </c>
      <c r="Q245" s="66">
        <v>32.808690697561183</v>
      </c>
      <c r="R245" s="13">
        <v>34.26163407412016</v>
      </c>
      <c r="S245" s="13">
        <v>31.983293969647889</v>
      </c>
      <c r="T245" s="13">
        <v>37.324513477207091</v>
      </c>
      <c r="U245" s="13">
        <v>39.377969001749207</v>
      </c>
      <c r="V245" s="13">
        <v>39.392883422319713</v>
      </c>
      <c r="W245" s="14">
        <v>40.522593691051171</v>
      </c>
      <c r="X245" s="5">
        <v>19</v>
      </c>
      <c r="Y245" s="5">
        <v>19</v>
      </c>
      <c r="Z245" s="5">
        <v>20</v>
      </c>
      <c r="AA245" s="5">
        <v>20</v>
      </c>
      <c r="AB245" s="5">
        <v>20</v>
      </c>
      <c r="AC245" s="5">
        <v>19</v>
      </c>
      <c r="AD245" s="6">
        <v>18</v>
      </c>
    </row>
    <row r="246" spans="2:30" x14ac:dyDescent="0.25">
      <c r="B246" s="4" t="s">
        <v>38</v>
      </c>
      <c r="C246" s="66" t="s">
        <v>269</v>
      </c>
      <c r="D246" s="13" t="s">
        <v>269</v>
      </c>
      <c r="E246" s="13" t="s">
        <v>269</v>
      </c>
      <c r="F246" s="13" t="s">
        <v>269</v>
      </c>
      <c r="G246" s="13" t="s">
        <v>269</v>
      </c>
      <c r="H246" s="13" t="s">
        <v>269</v>
      </c>
      <c r="I246" s="14" t="s">
        <v>269</v>
      </c>
      <c r="J246" s="13" t="s">
        <v>269</v>
      </c>
      <c r="K246" s="13" t="s">
        <v>269</v>
      </c>
      <c r="L246" s="13" t="s">
        <v>269</v>
      </c>
      <c r="M246" s="13" t="s">
        <v>269</v>
      </c>
      <c r="N246" s="13" t="s">
        <v>269</v>
      </c>
      <c r="O246" s="13" t="s">
        <v>269</v>
      </c>
      <c r="P246" s="13" t="s">
        <v>269</v>
      </c>
      <c r="Q246" s="66" t="s">
        <v>269</v>
      </c>
      <c r="R246" s="13" t="s">
        <v>269</v>
      </c>
      <c r="S246" s="13" t="s">
        <v>269</v>
      </c>
      <c r="T246" s="13" t="s">
        <v>269</v>
      </c>
      <c r="U246" s="13" t="s">
        <v>269</v>
      </c>
      <c r="V246" s="13" t="s">
        <v>269</v>
      </c>
      <c r="W246" s="14" t="s">
        <v>269</v>
      </c>
      <c r="X246" s="5" t="e">
        <v>#VALUE!</v>
      </c>
      <c r="Y246" s="5" t="e">
        <v>#VALUE!</v>
      </c>
      <c r="Z246" s="5" t="e">
        <v>#VALUE!</v>
      </c>
      <c r="AA246" s="5" t="e">
        <v>#VALUE!</v>
      </c>
      <c r="AB246" s="5" t="e">
        <v>#VALUE!</v>
      </c>
      <c r="AC246" s="5" t="e">
        <v>#VALUE!</v>
      </c>
      <c r="AD246" s="6" t="e">
        <v>#VALUE!</v>
      </c>
    </row>
    <row r="247" spans="2:30" x14ac:dyDescent="0.25">
      <c r="B247" s="4" t="s">
        <v>39</v>
      </c>
      <c r="C247" s="66" t="s">
        <v>380</v>
      </c>
      <c r="D247" s="13" t="s">
        <v>299</v>
      </c>
      <c r="E247" s="13" t="s">
        <v>386</v>
      </c>
      <c r="F247" s="13" t="s">
        <v>219</v>
      </c>
      <c r="G247" s="13" t="s">
        <v>197</v>
      </c>
      <c r="H247" s="13" t="s">
        <v>392</v>
      </c>
      <c r="I247" s="14" t="s">
        <v>203</v>
      </c>
      <c r="J247" s="13">
        <v>5.67</v>
      </c>
      <c r="K247" s="13">
        <v>5.5803773584905656</v>
      </c>
      <c r="L247" s="13">
        <v>5.4211320754716983</v>
      </c>
      <c r="M247" s="13">
        <v>5.4720754716981137</v>
      </c>
      <c r="N247" s="13">
        <v>5.2720754716981135</v>
      </c>
      <c r="O247" s="13">
        <v>5.0920754716981138</v>
      </c>
      <c r="P247" s="13">
        <v>4.065475575332778</v>
      </c>
      <c r="Q247" s="66">
        <v>58.211262577581707</v>
      </c>
      <c r="R247" s="13">
        <v>59.518226568882227</v>
      </c>
      <c r="S247" s="13">
        <v>49.578798940117565</v>
      </c>
      <c r="T247" s="13">
        <v>41.430841726133714</v>
      </c>
      <c r="U247" s="13">
        <v>39.881069303490193</v>
      </c>
      <c r="V247" s="13">
        <v>39.025132953347892</v>
      </c>
      <c r="W247" s="14">
        <v>29.487922005936301</v>
      </c>
      <c r="X247" s="5">
        <v>11</v>
      </c>
      <c r="Y247" s="5">
        <v>9</v>
      </c>
      <c r="Z247" s="5">
        <v>14</v>
      </c>
      <c r="AA247" s="5">
        <v>19</v>
      </c>
      <c r="AB247" s="5">
        <v>18</v>
      </c>
      <c r="AC247" s="5">
        <v>20</v>
      </c>
      <c r="AD247" s="6">
        <v>21</v>
      </c>
    </row>
    <row r="248" spans="2:30" x14ac:dyDescent="0.25">
      <c r="B248" s="4" t="s">
        <v>40</v>
      </c>
      <c r="C248" s="66" t="s">
        <v>288</v>
      </c>
      <c r="D248" s="13" t="s">
        <v>494</v>
      </c>
      <c r="E248" s="13" t="s">
        <v>206</v>
      </c>
      <c r="F248" s="13" t="s">
        <v>141</v>
      </c>
      <c r="G248" s="13" t="s">
        <v>117</v>
      </c>
      <c r="H248" s="13" t="s">
        <v>358</v>
      </c>
      <c r="I248" s="14" t="s">
        <v>432</v>
      </c>
      <c r="J248" s="13">
        <v>4.5200000000000005</v>
      </c>
      <c r="K248" s="13">
        <v>4.66</v>
      </c>
      <c r="L248" s="13">
        <v>5.52</v>
      </c>
      <c r="M248" s="13">
        <v>6.25</v>
      </c>
      <c r="N248" s="13">
        <v>6.34</v>
      </c>
      <c r="O248" s="13">
        <v>6.1099999999999994</v>
      </c>
      <c r="P248" s="13">
        <v>5.804588818712312</v>
      </c>
      <c r="Q248" s="66">
        <v>25.387714642723729</v>
      </c>
      <c r="R248" s="13">
        <v>33.410649075885985</v>
      </c>
      <c r="S248" s="13">
        <v>52.37954152958477</v>
      </c>
      <c r="T248" s="13">
        <v>61.140261249212131</v>
      </c>
      <c r="U248" s="13">
        <v>64.219083900532439</v>
      </c>
      <c r="V248" s="13">
        <v>59.909488533380596</v>
      </c>
      <c r="W248" s="14">
        <v>67.987968461280161</v>
      </c>
      <c r="X248" s="5">
        <v>23</v>
      </c>
      <c r="Y248" s="5">
        <v>21</v>
      </c>
      <c r="Z248" s="5">
        <v>13</v>
      </c>
      <c r="AA248" s="5">
        <v>8</v>
      </c>
      <c r="AB248" s="5">
        <v>7</v>
      </c>
      <c r="AC248" s="5">
        <v>10</v>
      </c>
      <c r="AD248" s="6">
        <v>7</v>
      </c>
    </row>
    <row r="249" spans="2:30" x14ac:dyDescent="0.25">
      <c r="B249" s="4" t="s">
        <v>41</v>
      </c>
      <c r="C249" s="66" t="s">
        <v>354</v>
      </c>
      <c r="D249" s="13" t="s">
        <v>286</v>
      </c>
      <c r="E249" s="13" t="s">
        <v>162</v>
      </c>
      <c r="F249" s="13" t="s">
        <v>319</v>
      </c>
      <c r="G249" s="13" t="s">
        <v>195</v>
      </c>
      <c r="H249" s="13" t="s">
        <v>171</v>
      </c>
      <c r="I249" s="14" t="s">
        <v>170</v>
      </c>
      <c r="J249" s="13">
        <v>4.83</v>
      </c>
      <c r="K249" s="13">
        <v>4.42</v>
      </c>
      <c r="L249" s="13">
        <v>4.76</v>
      </c>
      <c r="M249" s="13">
        <v>4.8600000000000003</v>
      </c>
      <c r="N249" s="13">
        <v>4.6500000000000004</v>
      </c>
      <c r="O249" s="13">
        <v>4.51</v>
      </c>
      <c r="P249" s="13">
        <v>4.0010841355605047</v>
      </c>
      <c r="Q249" s="66">
        <v>34.235801477337617</v>
      </c>
      <c r="R249" s="13">
        <v>26.602769090012412</v>
      </c>
      <c r="S249" s="13">
        <v>30.850169105206948</v>
      </c>
      <c r="T249" s="13">
        <v>25.923357628906825</v>
      </c>
      <c r="U249" s="13">
        <v>25.703960800584124</v>
      </c>
      <c r="V249" s="13">
        <v>27.082920355683193</v>
      </c>
      <c r="W249" s="14">
        <v>28.062440697001215</v>
      </c>
      <c r="X249" s="5">
        <v>17</v>
      </c>
      <c r="Y249" s="5">
        <v>22</v>
      </c>
      <c r="Z249" s="5">
        <v>21</v>
      </c>
      <c r="AA249" s="5">
        <v>21</v>
      </c>
      <c r="AB249" s="5">
        <v>22</v>
      </c>
      <c r="AC249" s="5">
        <v>23</v>
      </c>
      <c r="AD249" s="6">
        <v>23</v>
      </c>
    </row>
    <row r="250" spans="2:30" x14ac:dyDescent="0.25">
      <c r="B250" s="4" t="s">
        <v>42</v>
      </c>
      <c r="C250" s="66" t="s">
        <v>237</v>
      </c>
      <c r="D250" s="13" t="s">
        <v>236</v>
      </c>
      <c r="E250" s="13" t="s">
        <v>314</v>
      </c>
      <c r="F250" s="13" t="s">
        <v>388</v>
      </c>
      <c r="G250" s="13" t="s">
        <v>390</v>
      </c>
      <c r="H250" s="13" t="s">
        <v>220</v>
      </c>
      <c r="I250" s="14" t="s">
        <v>222</v>
      </c>
      <c r="J250" s="13">
        <v>5.5200000000000005</v>
      </c>
      <c r="K250" s="13">
        <v>5.41</v>
      </c>
      <c r="L250" s="13">
        <v>6.06</v>
      </c>
      <c r="M250" s="13">
        <v>5.88</v>
      </c>
      <c r="N250" s="13">
        <v>5.2600000000000007</v>
      </c>
      <c r="O250" s="13">
        <v>5.28</v>
      </c>
      <c r="P250" s="13">
        <v>4.626187153981185</v>
      </c>
      <c r="Q250" s="66">
        <v>53.929930238252417</v>
      </c>
      <c r="R250" s="13">
        <v>54.685274031740867</v>
      </c>
      <c r="S250" s="13">
        <v>67.676727199537439</v>
      </c>
      <c r="T250" s="13">
        <v>51.765977551720788</v>
      </c>
      <c r="U250" s="13">
        <v>39.60586913843531</v>
      </c>
      <c r="V250" s="13">
        <v>42.880706291200084</v>
      </c>
      <c r="W250" s="14">
        <v>41.90081225801849</v>
      </c>
      <c r="X250" s="5">
        <v>13</v>
      </c>
      <c r="Y250" s="5">
        <v>12</v>
      </c>
      <c r="Z250" s="5">
        <v>5</v>
      </c>
      <c r="AA250" s="5">
        <v>14</v>
      </c>
      <c r="AB250" s="5">
        <v>19</v>
      </c>
      <c r="AC250" s="5">
        <v>17</v>
      </c>
      <c r="AD250" s="6">
        <v>16</v>
      </c>
    </row>
    <row r="251" spans="2:30" x14ac:dyDescent="0.25">
      <c r="B251" s="4" t="s">
        <v>43</v>
      </c>
      <c r="C251" s="66" t="s">
        <v>389</v>
      </c>
      <c r="D251" s="13" t="s">
        <v>564</v>
      </c>
      <c r="E251" s="13" t="s">
        <v>622</v>
      </c>
      <c r="F251" s="13" t="s">
        <v>341</v>
      </c>
      <c r="G251" s="13" t="s">
        <v>275</v>
      </c>
      <c r="H251" s="13" t="s">
        <v>212</v>
      </c>
      <c r="I251" s="14" t="s">
        <v>393</v>
      </c>
      <c r="J251" s="13">
        <v>5.1300000000000008</v>
      </c>
      <c r="K251" s="13">
        <v>5.14</v>
      </c>
      <c r="L251" s="13">
        <v>5.4</v>
      </c>
      <c r="M251" s="13">
        <v>6.17</v>
      </c>
      <c r="N251" s="13">
        <v>5.8999999999999995</v>
      </c>
      <c r="O251" s="13">
        <v>5.69</v>
      </c>
      <c r="P251" s="13">
        <v>4.618778891757219</v>
      </c>
      <c r="Q251" s="66">
        <v>42.798466155996238</v>
      </c>
      <c r="R251" s="13">
        <v>47.026409047633095</v>
      </c>
      <c r="S251" s="13">
        <v>48.98016693626198</v>
      </c>
      <c r="T251" s="13">
        <v>59.113389098403189</v>
      </c>
      <c r="U251" s="13">
        <v>54.191477886344707</v>
      </c>
      <c r="V251" s="13">
        <v>51.29251438673505</v>
      </c>
      <c r="W251" s="14">
        <v>41.736810033975964</v>
      </c>
      <c r="X251" s="5">
        <v>16</v>
      </c>
      <c r="Y251" s="5">
        <v>16</v>
      </c>
      <c r="Z251" s="5">
        <v>17</v>
      </c>
      <c r="AA251" s="5">
        <v>10</v>
      </c>
      <c r="AB251" s="5">
        <v>11</v>
      </c>
      <c r="AC251" s="5">
        <v>12</v>
      </c>
      <c r="AD251" s="6">
        <v>17</v>
      </c>
    </row>
    <row r="252" spans="2:30" x14ac:dyDescent="0.25">
      <c r="B252" s="4" t="s">
        <v>44</v>
      </c>
      <c r="C252" s="66" t="s">
        <v>258</v>
      </c>
      <c r="D252" s="13" t="s">
        <v>623</v>
      </c>
      <c r="E252" s="13" t="s">
        <v>530</v>
      </c>
      <c r="F252" s="13" t="s">
        <v>623</v>
      </c>
      <c r="G252" s="13" t="s">
        <v>624</v>
      </c>
      <c r="H252" s="13" t="s">
        <v>544</v>
      </c>
      <c r="I252" s="14" t="s">
        <v>263</v>
      </c>
      <c r="J252" s="13">
        <v>3.98</v>
      </c>
      <c r="K252" s="13">
        <v>3.78</v>
      </c>
      <c r="L252" s="13">
        <v>3.8758876404494376</v>
      </c>
      <c r="M252" s="13">
        <v>4.1359550561797747</v>
      </c>
      <c r="N252" s="13">
        <v>4.1321573033707857</v>
      </c>
      <c r="O252" s="13">
        <v>4.016966292134831</v>
      </c>
      <c r="P252" s="13">
        <v>3.5636851673042078</v>
      </c>
      <c r="Q252" s="66">
        <v>9.9749182211382248</v>
      </c>
      <c r="R252" s="13">
        <v>8.4484224610162428</v>
      </c>
      <c r="S252" s="13">
        <v>5.8049266660497238</v>
      </c>
      <c r="T252" s="13">
        <v>7.5790259718663577</v>
      </c>
      <c r="U252" s="13">
        <v>13.902318666215244</v>
      </c>
      <c r="V252" s="13">
        <v>16.967542464971373</v>
      </c>
      <c r="W252" s="14">
        <v>18.379413636231561</v>
      </c>
      <c r="X252" s="5">
        <v>27</v>
      </c>
      <c r="Y252" s="5">
        <v>27</v>
      </c>
      <c r="Z252" s="5">
        <v>27</v>
      </c>
      <c r="AA252" s="5">
        <v>27</v>
      </c>
      <c r="AB252" s="5">
        <v>25</v>
      </c>
      <c r="AC252" s="5">
        <v>25</v>
      </c>
      <c r="AD252" s="6">
        <v>25</v>
      </c>
    </row>
    <row r="253" spans="2:30" x14ac:dyDescent="0.25">
      <c r="B253" s="4" t="s">
        <v>18</v>
      </c>
      <c r="C253" s="66" t="s">
        <v>442</v>
      </c>
      <c r="D253" s="13" t="s">
        <v>602</v>
      </c>
      <c r="E253" s="13" t="s">
        <v>214</v>
      </c>
      <c r="F253" s="13" t="s">
        <v>371</v>
      </c>
      <c r="G253" s="13" t="s">
        <v>362</v>
      </c>
      <c r="H253" s="13" t="s">
        <v>147</v>
      </c>
      <c r="I253" s="14" t="s">
        <v>247</v>
      </c>
      <c r="J253" s="13">
        <v>6.82</v>
      </c>
      <c r="K253" s="13">
        <v>6.55</v>
      </c>
      <c r="L253" s="13">
        <v>6.02</v>
      </c>
      <c r="M253" s="13">
        <v>6.63</v>
      </c>
      <c r="N253" s="13">
        <v>6.9700000000000006</v>
      </c>
      <c r="O253" s="13">
        <v>8.19</v>
      </c>
      <c r="P253" s="13">
        <v>6.0888272033310198</v>
      </c>
      <c r="Q253" s="66">
        <v>91.034810512439705</v>
      </c>
      <c r="R253" s="13">
        <v>87.0227039646403</v>
      </c>
      <c r="S253" s="13">
        <v>66.543602335096494</v>
      </c>
      <c r="T253" s="13">
        <v>70.767903965554581</v>
      </c>
      <c r="U253" s="13">
        <v>78.576792511755798</v>
      </c>
      <c r="V253" s="13">
        <v>100</v>
      </c>
      <c r="W253" s="14">
        <v>74.280365494004016</v>
      </c>
      <c r="X253" s="5">
        <v>3</v>
      </c>
      <c r="Y253" s="5">
        <v>3</v>
      </c>
      <c r="Z253" s="5">
        <v>6</v>
      </c>
      <c r="AA253" s="5">
        <v>4</v>
      </c>
      <c r="AB253" s="5">
        <v>3</v>
      </c>
      <c r="AC253" s="5">
        <v>1</v>
      </c>
      <c r="AD253" s="6">
        <v>5</v>
      </c>
    </row>
    <row r="254" spans="2:30" x14ac:dyDescent="0.25">
      <c r="B254" s="4" t="s">
        <v>45</v>
      </c>
      <c r="C254" s="66" t="s">
        <v>143</v>
      </c>
      <c r="D254" s="13" t="s">
        <v>215</v>
      </c>
      <c r="E254" s="13" t="s">
        <v>465</v>
      </c>
      <c r="F254" s="13" t="s">
        <v>299</v>
      </c>
      <c r="G254" s="13" t="s">
        <v>605</v>
      </c>
      <c r="H254" s="13" t="s">
        <v>141</v>
      </c>
      <c r="I254" s="14" t="s">
        <v>249</v>
      </c>
      <c r="J254" s="13">
        <v>5.6</v>
      </c>
      <c r="K254" s="13">
        <v>5.54</v>
      </c>
      <c r="L254" s="13">
        <v>5.6199999999999992</v>
      </c>
      <c r="M254" s="13">
        <v>6.1899999999999995</v>
      </c>
      <c r="N254" s="13">
        <v>6.23</v>
      </c>
      <c r="O254" s="13">
        <v>6.17</v>
      </c>
      <c r="P254" s="13">
        <v>5.6284448605315855</v>
      </c>
      <c r="Q254" s="66">
        <v>56.213307485894688</v>
      </c>
      <c r="R254" s="13">
        <v>58.372875690755713</v>
      </c>
      <c r="S254" s="13">
        <v>55.21235369068711</v>
      </c>
      <c r="T254" s="13">
        <v>59.62010713610541</v>
      </c>
      <c r="U254" s="13">
        <v>61.712182396985526</v>
      </c>
      <c r="V254" s="13">
        <v>61.140484840044266</v>
      </c>
      <c r="W254" s="14">
        <v>64.088538335839985</v>
      </c>
      <c r="X254" s="5">
        <v>12</v>
      </c>
      <c r="Y254" s="5">
        <v>10</v>
      </c>
      <c r="Z254" s="5">
        <v>10</v>
      </c>
      <c r="AA254" s="5">
        <v>9</v>
      </c>
      <c r="AB254" s="5">
        <v>10</v>
      </c>
      <c r="AC254" s="5">
        <v>8</v>
      </c>
      <c r="AD254" s="6">
        <v>9</v>
      </c>
    </row>
    <row r="255" spans="2:30" x14ac:dyDescent="0.25">
      <c r="B255" s="4" t="s">
        <v>46</v>
      </c>
      <c r="C255" s="66" t="s">
        <v>215</v>
      </c>
      <c r="D255" s="13" t="s">
        <v>615</v>
      </c>
      <c r="E255" s="13" t="s">
        <v>169</v>
      </c>
      <c r="F255" s="13" t="s">
        <v>622</v>
      </c>
      <c r="G255" s="13" t="s">
        <v>566</v>
      </c>
      <c r="H255" s="13" t="s">
        <v>235</v>
      </c>
      <c r="I255" s="14" t="s">
        <v>212</v>
      </c>
      <c r="J255" s="13">
        <v>5.68</v>
      </c>
      <c r="K255" s="13">
        <v>5.29</v>
      </c>
      <c r="L255" s="13">
        <v>5.75</v>
      </c>
      <c r="M255" s="13">
        <v>5.7899999999999991</v>
      </c>
      <c r="N255" s="13">
        <v>5.78</v>
      </c>
      <c r="O255" s="13">
        <v>5.46</v>
      </c>
      <c r="P255" s="13">
        <v>5.0586401473235458</v>
      </c>
      <c r="Q255" s="66">
        <v>58.496684733536988</v>
      </c>
      <c r="R255" s="13">
        <v>51.281334038804083</v>
      </c>
      <c r="S255" s="13">
        <v>58.895009500120182</v>
      </c>
      <c r="T255" s="13">
        <v>49.485746382060711</v>
      </c>
      <c r="U255" s="13">
        <v>51.456676246111705</v>
      </c>
      <c r="V255" s="13">
        <v>46.573695211191037</v>
      </c>
      <c r="W255" s="14">
        <v>51.474346584672986</v>
      </c>
      <c r="X255" s="5">
        <v>10</v>
      </c>
      <c r="Y255" s="5">
        <v>14</v>
      </c>
      <c r="Z255" s="5">
        <v>9</v>
      </c>
      <c r="AA255" s="5">
        <v>17</v>
      </c>
      <c r="AB255" s="5">
        <v>15</v>
      </c>
      <c r="AC255" s="5">
        <v>15</v>
      </c>
      <c r="AD255" s="6">
        <v>12</v>
      </c>
    </row>
    <row r="256" spans="2:30" x14ac:dyDescent="0.25">
      <c r="B256" s="4" t="s">
        <v>47</v>
      </c>
      <c r="C256" s="66" t="s">
        <v>526</v>
      </c>
      <c r="D256" s="13" t="s">
        <v>385</v>
      </c>
      <c r="E256" s="13" t="s">
        <v>238</v>
      </c>
      <c r="F256" s="13" t="s">
        <v>565</v>
      </c>
      <c r="G256" s="13" t="s">
        <v>625</v>
      </c>
      <c r="H256" s="13" t="s">
        <v>254</v>
      </c>
      <c r="I256" s="14" t="s">
        <v>357</v>
      </c>
      <c r="J256" s="13">
        <v>5.33</v>
      </c>
      <c r="K256" s="13">
        <v>5.3500000000000005</v>
      </c>
      <c r="L256" s="13">
        <v>5.17</v>
      </c>
      <c r="M256" s="13">
        <v>5.83</v>
      </c>
      <c r="N256" s="13">
        <v>5.76</v>
      </c>
      <c r="O256" s="13">
        <v>5.41</v>
      </c>
      <c r="P256" s="13">
        <v>6.1187187496288553</v>
      </c>
      <c r="Q256" s="66">
        <v>48.506909275101954</v>
      </c>
      <c r="R256" s="13">
        <v>52.983304035272489</v>
      </c>
      <c r="S256" s="13">
        <v>42.464698965726569</v>
      </c>
      <c r="T256" s="13">
        <v>50.499182457465203</v>
      </c>
      <c r="U256" s="13">
        <v>51.000875972739522</v>
      </c>
      <c r="V256" s="13">
        <v>45.547864955637998</v>
      </c>
      <c r="W256" s="14">
        <v>74.942096939882944</v>
      </c>
      <c r="X256" s="5">
        <v>15</v>
      </c>
      <c r="Y256" s="5">
        <v>13</v>
      </c>
      <c r="Z256" s="5">
        <v>18</v>
      </c>
      <c r="AA256" s="5">
        <v>16</v>
      </c>
      <c r="AB256" s="5">
        <v>16</v>
      </c>
      <c r="AC256" s="5">
        <v>16</v>
      </c>
      <c r="AD256" s="6">
        <v>4</v>
      </c>
    </row>
    <row r="257" spans="2:30" x14ac:dyDescent="0.25">
      <c r="B257" s="4" t="s">
        <v>48</v>
      </c>
      <c r="C257" s="66" t="s">
        <v>225</v>
      </c>
      <c r="D257" s="13" t="s">
        <v>255</v>
      </c>
      <c r="E257" s="13" t="s">
        <v>626</v>
      </c>
      <c r="F257" s="13" t="s">
        <v>532</v>
      </c>
      <c r="G257" s="13" t="s">
        <v>596</v>
      </c>
      <c r="H257" s="13" t="s">
        <v>596</v>
      </c>
      <c r="I257" s="14" t="s">
        <v>596</v>
      </c>
      <c r="J257" s="13">
        <v>4.7924148644775855</v>
      </c>
      <c r="K257" s="13">
        <v>4.67</v>
      </c>
      <c r="L257" s="13">
        <v>4.4450000000000003</v>
      </c>
      <c r="M257" s="13">
        <v>4.2200000000000006</v>
      </c>
      <c r="N257" s="13">
        <v>3.5300000000000002</v>
      </c>
      <c r="O257" s="13">
        <v>3.06</v>
      </c>
      <c r="P257" s="13">
        <v>2.4189480150755456</v>
      </c>
      <c r="Q257" s="66">
        <v>33.163038436069691</v>
      </c>
      <c r="R257" s="13">
        <v>33.694310741964046</v>
      </c>
      <c r="S257" s="13">
        <v>21.926810797734575</v>
      </c>
      <c r="T257" s="13">
        <v>9.7083804224353258</v>
      </c>
      <c r="U257" s="13">
        <v>0.17914549174263072</v>
      </c>
      <c r="V257" s="13">
        <v>0</v>
      </c>
      <c r="W257" s="14">
        <v>0</v>
      </c>
      <c r="X257" s="5">
        <v>18</v>
      </c>
      <c r="Y257" s="5">
        <v>20</v>
      </c>
      <c r="Z257" s="5">
        <v>23</v>
      </c>
      <c r="AA257" s="5">
        <v>26</v>
      </c>
      <c r="AB257" s="5">
        <v>27</v>
      </c>
      <c r="AC257" s="5">
        <v>27</v>
      </c>
      <c r="AD257" s="6">
        <v>27</v>
      </c>
    </row>
    <row r="258" spans="2:30" x14ac:dyDescent="0.25">
      <c r="B258" s="4" t="s">
        <v>56</v>
      </c>
      <c r="C258" s="66" t="s">
        <v>544</v>
      </c>
      <c r="D258" s="13" t="s">
        <v>627</v>
      </c>
      <c r="E258" s="13" t="s">
        <v>612</v>
      </c>
      <c r="F258" s="13" t="s">
        <v>628</v>
      </c>
      <c r="G258" s="13" t="s">
        <v>337</v>
      </c>
      <c r="H258" s="13" t="s">
        <v>196</v>
      </c>
      <c r="I258" s="14" t="s">
        <v>152</v>
      </c>
      <c r="J258" s="13">
        <v>4.21</v>
      </c>
      <c r="K258" s="13">
        <v>3.87</v>
      </c>
      <c r="L258" s="13">
        <v>4</v>
      </c>
      <c r="M258" s="13">
        <v>4.46</v>
      </c>
      <c r="N258" s="13">
        <v>4.59</v>
      </c>
      <c r="O258" s="13">
        <v>4.3499999999999996</v>
      </c>
      <c r="P258" s="13">
        <v>3.8591388003743226</v>
      </c>
      <c r="Q258" s="66">
        <v>16.53962780810982</v>
      </c>
      <c r="R258" s="13">
        <v>11.001377455718838</v>
      </c>
      <c r="S258" s="13">
        <v>9.320796680829126</v>
      </c>
      <c r="T258" s="13">
        <v>15.788996874862129</v>
      </c>
      <c r="U258" s="13">
        <v>24.336559980467605</v>
      </c>
      <c r="V258" s="13">
        <v>23.800263537913452</v>
      </c>
      <c r="W258" s="14">
        <v>24.920090985393195</v>
      </c>
      <c r="X258" s="5">
        <v>25</v>
      </c>
      <c r="Y258" s="5">
        <v>26</v>
      </c>
      <c r="Z258" s="5">
        <v>26</v>
      </c>
      <c r="AA258" s="5">
        <v>25</v>
      </c>
      <c r="AB258" s="5">
        <v>23</v>
      </c>
      <c r="AC258" s="5">
        <v>24</v>
      </c>
      <c r="AD258" s="6">
        <v>24</v>
      </c>
    </row>
    <row r="259" spans="2:30" x14ac:dyDescent="0.25">
      <c r="B259" s="4" t="s">
        <v>49</v>
      </c>
      <c r="C259" s="66" t="s">
        <v>214</v>
      </c>
      <c r="D259" s="13" t="s">
        <v>262</v>
      </c>
      <c r="E259" s="13" t="s">
        <v>616</v>
      </c>
      <c r="F259" s="13" t="s">
        <v>199</v>
      </c>
      <c r="G259" s="13" t="s">
        <v>217</v>
      </c>
      <c r="H259" s="13" t="s">
        <v>275</v>
      </c>
      <c r="I259" s="14" t="s">
        <v>615</v>
      </c>
      <c r="J259" s="13">
        <v>5.99</v>
      </c>
      <c r="K259" s="13">
        <v>5.46</v>
      </c>
      <c r="L259" s="13">
        <v>5.42</v>
      </c>
      <c r="M259" s="13">
        <v>5.92</v>
      </c>
      <c r="N259" s="13">
        <v>5.89</v>
      </c>
      <c r="O259" s="13">
        <v>5.83</v>
      </c>
      <c r="P259" s="13">
        <v>5.0355254346551508</v>
      </c>
      <c r="Q259" s="66">
        <v>67.34477156815089</v>
      </c>
      <c r="R259" s="13">
        <v>56.103582362131192</v>
      </c>
      <c r="S259" s="13">
        <v>49.546729368482438</v>
      </c>
      <c r="T259" s="13">
        <v>52.779413627125258</v>
      </c>
      <c r="U259" s="13">
        <v>53.963577749658626</v>
      </c>
      <c r="V259" s="13">
        <v>54.164839102283565</v>
      </c>
      <c r="W259" s="14">
        <v>50.962638957281342</v>
      </c>
      <c r="X259" s="5">
        <v>6</v>
      </c>
      <c r="Y259" s="5">
        <v>11</v>
      </c>
      <c r="Z259" s="5">
        <v>15</v>
      </c>
      <c r="AA259" s="5">
        <v>12</v>
      </c>
      <c r="AB259" s="5">
        <v>12</v>
      </c>
      <c r="AC259" s="5">
        <v>11</v>
      </c>
      <c r="AD259" s="6">
        <v>14</v>
      </c>
    </row>
    <row r="260" spans="2:30" x14ac:dyDescent="0.25">
      <c r="B260" s="4" t="s">
        <v>50</v>
      </c>
      <c r="C260" s="66" t="s">
        <v>161</v>
      </c>
      <c r="D260" s="13" t="s">
        <v>256</v>
      </c>
      <c r="E260" s="13" t="s">
        <v>219</v>
      </c>
      <c r="F260" s="13" t="s">
        <v>629</v>
      </c>
      <c r="G260" s="13" t="s">
        <v>630</v>
      </c>
      <c r="H260" s="13" t="s">
        <v>191</v>
      </c>
      <c r="I260" s="14" t="s">
        <v>390</v>
      </c>
      <c r="J260" s="13">
        <v>4.6500000000000004</v>
      </c>
      <c r="K260" s="13">
        <v>4.82</v>
      </c>
      <c r="L260" s="13">
        <v>5.1100000000000003</v>
      </c>
      <c r="M260" s="13">
        <v>5.56</v>
      </c>
      <c r="N260" s="13">
        <v>5.61</v>
      </c>
      <c r="O260" s="13">
        <v>5.4899999999999993</v>
      </c>
      <c r="P260" s="13">
        <v>4.5579808900657532</v>
      </c>
      <c r="Q260" s="66">
        <v>29.098202670142456</v>
      </c>
      <c r="R260" s="13">
        <v>37.949235733135026</v>
      </c>
      <c r="S260" s="13">
        <v>40.765011669065174</v>
      </c>
      <c r="T260" s="13">
        <v>43.658488948485022</v>
      </c>
      <c r="U260" s="13">
        <v>47.582373922448262</v>
      </c>
      <c r="V260" s="13">
        <v>47.189193364522851</v>
      </c>
      <c r="W260" s="14">
        <v>40.390879342904412</v>
      </c>
      <c r="X260" s="5">
        <v>22</v>
      </c>
      <c r="Y260" s="5">
        <v>17</v>
      </c>
      <c r="Z260" s="5">
        <v>19</v>
      </c>
      <c r="AA260" s="5">
        <v>18</v>
      </c>
      <c r="AB260" s="5">
        <v>17</v>
      </c>
      <c r="AC260" s="5">
        <v>14</v>
      </c>
      <c r="AD260" s="6">
        <v>19</v>
      </c>
    </row>
    <row r="261" spans="2:30" x14ac:dyDescent="0.25">
      <c r="B261" s="4" t="s">
        <v>51</v>
      </c>
      <c r="C261" s="66" t="s">
        <v>631</v>
      </c>
      <c r="D261" s="13" t="s">
        <v>632</v>
      </c>
      <c r="E261" s="13" t="s">
        <v>632</v>
      </c>
      <c r="F261" s="13" t="s">
        <v>633</v>
      </c>
      <c r="G261" s="13" t="s">
        <v>377</v>
      </c>
      <c r="H261" s="13" t="s">
        <v>179</v>
      </c>
      <c r="I261" s="14" t="s">
        <v>306</v>
      </c>
      <c r="J261" s="13">
        <v>6.17</v>
      </c>
      <c r="K261" s="13">
        <v>6.07</v>
      </c>
      <c r="L261" s="13">
        <v>6.24</v>
      </c>
      <c r="M261" s="13">
        <v>6.66</v>
      </c>
      <c r="N261" s="13">
        <v>6.38</v>
      </c>
      <c r="O261" s="13">
        <v>6.25</v>
      </c>
      <c r="P261" s="13">
        <v>5.3939533808112472</v>
      </c>
      <c r="Q261" s="66">
        <v>72.482370375346051</v>
      </c>
      <c r="R261" s="13">
        <v>73.406943992893176</v>
      </c>
      <c r="S261" s="13">
        <v>72.77578908952168</v>
      </c>
      <c r="T261" s="13">
        <v>71.527981022107937</v>
      </c>
      <c r="U261" s="13">
        <v>65.130684447276792</v>
      </c>
      <c r="V261" s="13">
        <v>62.78181324892914</v>
      </c>
      <c r="W261" s="14">
        <v>58.897425625392337</v>
      </c>
      <c r="X261" s="5">
        <v>4</v>
      </c>
      <c r="Y261" s="5">
        <v>4</v>
      </c>
      <c r="Z261" s="5">
        <v>4</v>
      </c>
      <c r="AA261" s="5">
        <v>3</v>
      </c>
      <c r="AB261" s="5">
        <v>6</v>
      </c>
      <c r="AC261" s="5">
        <v>7</v>
      </c>
      <c r="AD261" s="6">
        <v>11</v>
      </c>
    </row>
    <row r="262" spans="2:30" ht="15.75" thickBot="1" x14ac:dyDescent="0.3">
      <c r="B262" s="7" t="s">
        <v>54</v>
      </c>
      <c r="C262" s="67" t="s">
        <v>299</v>
      </c>
      <c r="D262" s="15" t="s">
        <v>141</v>
      </c>
      <c r="E262" s="15" t="s">
        <v>217</v>
      </c>
      <c r="F262" s="15" t="s">
        <v>385</v>
      </c>
      <c r="G262" s="15" t="s">
        <v>555</v>
      </c>
      <c r="H262" s="15" t="s">
        <v>277</v>
      </c>
      <c r="I262" s="16" t="s">
        <v>361</v>
      </c>
      <c r="J262" s="15">
        <v>5.73</v>
      </c>
      <c r="K262" s="15">
        <v>5.62</v>
      </c>
      <c r="L262" s="15">
        <v>5.56</v>
      </c>
      <c r="M262" s="15">
        <v>5.91</v>
      </c>
      <c r="N262" s="15">
        <v>6.32</v>
      </c>
      <c r="O262" s="15">
        <v>6.2600000000000007</v>
      </c>
      <c r="P262" s="15">
        <v>6.5024429201556213</v>
      </c>
      <c r="Q262" s="67">
        <v>59.923795513313443</v>
      </c>
      <c r="R262" s="15">
        <v>60.642169019380233</v>
      </c>
      <c r="S262" s="15">
        <v>53.512666394025715</v>
      </c>
      <c r="T262" s="15">
        <v>52.526054608274144</v>
      </c>
      <c r="U262" s="15">
        <v>63.763283627160284</v>
      </c>
      <c r="V262" s="15">
        <v>62.986979300039756</v>
      </c>
      <c r="W262" s="16">
        <v>83.436884986353306</v>
      </c>
      <c r="X262" s="8">
        <v>9</v>
      </c>
      <c r="Y262" s="8">
        <v>8</v>
      </c>
      <c r="Z262" s="8">
        <v>12</v>
      </c>
      <c r="AA262" s="8">
        <v>13</v>
      </c>
      <c r="AB262" s="8">
        <v>8</v>
      </c>
      <c r="AC262" s="8">
        <v>6</v>
      </c>
      <c r="AD262" s="9">
        <v>3</v>
      </c>
    </row>
    <row r="264" spans="2:30" ht="15.75" thickBot="1" x14ac:dyDescent="0.3"/>
    <row r="265" spans="2:30" ht="15.75" thickBot="1" x14ac:dyDescent="0.3">
      <c r="B265" s="68" t="s">
        <v>65</v>
      </c>
      <c r="C265" s="139" t="s">
        <v>68</v>
      </c>
      <c r="D265" s="140"/>
      <c r="E265" s="140"/>
      <c r="F265" s="140"/>
      <c r="G265" s="140"/>
      <c r="H265" s="140"/>
      <c r="I265" s="141"/>
      <c r="J265" s="139"/>
      <c r="K265" s="140"/>
      <c r="L265" s="140"/>
      <c r="M265" s="140"/>
      <c r="N265" s="140"/>
      <c r="O265" s="140"/>
      <c r="P265" s="141"/>
      <c r="Q265" s="139" t="s">
        <v>68</v>
      </c>
      <c r="R265" s="140"/>
      <c r="S265" s="140"/>
      <c r="T265" s="140"/>
      <c r="U265" s="140"/>
      <c r="V265" s="140"/>
      <c r="W265" s="141"/>
      <c r="X265" s="139" t="s">
        <v>69</v>
      </c>
      <c r="Y265" s="140"/>
      <c r="Z265" s="140"/>
      <c r="AA265" s="140"/>
      <c r="AB265" s="140"/>
      <c r="AC265" s="140"/>
      <c r="AD265" s="141"/>
    </row>
    <row r="266" spans="2:30" x14ac:dyDescent="0.25">
      <c r="B266" s="68"/>
      <c r="C266" s="1">
        <v>2009</v>
      </c>
      <c r="D266" s="2">
        <v>2010</v>
      </c>
      <c r="E266" s="2">
        <v>2011</v>
      </c>
      <c r="F266" s="2">
        <v>2012</v>
      </c>
      <c r="G266" s="2">
        <v>2013</v>
      </c>
      <c r="H266" s="2">
        <v>2014</v>
      </c>
      <c r="I266" s="3">
        <v>2015</v>
      </c>
      <c r="J266" s="2">
        <v>2009</v>
      </c>
      <c r="K266" s="2">
        <v>2010</v>
      </c>
      <c r="L266" s="2">
        <v>2011</v>
      </c>
      <c r="M266" s="2">
        <v>2012</v>
      </c>
      <c r="N266" s="2">
        <v>2013</v>
      </c>
      <c r="O266" s="2">
        <v>2014</v>
      </c>
      <c r="P266" s="2">
        <v>2015</v>
      </c>
      <c r="Q266" s="1">
        <v>2009</v>
      </c>
      <c r="R266" s="2">
        <v>2010</v>
      </c>
      <c r="S266" s="2">
        <v>2011</v>
      </c>
      <c r="T266" s="2">
        <v>2012</v>
      </c>
      <c r="U266" s="2">
        <v>2013</v>
      </c>
      <c r="V266" s="2">
        <v>2014</v>
      </c>
      <c r="W266" s="3">
        <v>2015</v>
      </c>
      <c r="X266" s="2">
        <v>2009</v>
      </c>
      <c r="Y266" s="2">
        <v>2010</v>
      </c>
      <c r="Z266" s="2">
        <v>2011</v>
      </c>
      <c r="AA266" s="2">
        <v>2012</v>
      </c>
      <c r="AB266" s="2">
        <v>2013</v>
      </c>
      <c r="AC266" s="2">
        <v>2014</v>
      </c>
      <c r="AD266" s="3">
        <v>2015</v>
      </c>
    </row>
    <row r="267" spans="2:30" x14ac:dyDescent="0.25">
      <c r="B267" s="69" t="s">
        <v>65</v>
      </c>
      <c r="C267" s="64">
        <v>2008</v>
      </c>
      <c r="D267" s="63">
        <v>2009</v>
      </c>
      <c r="E267" s="63">
        <v>2010</v>
      </c>
      <c r="F267" s="63">
        <v>2011</v>
      </c>
      <c r="G267" s="63">
        <v>2012</v>
      </c>
      <c r="H267" s="63">
        <v>2013</v>
      </c>
      <c r="I267" s="65">
        <v>2014</v>
      </c>
      <c r="J267" s="63">
        <v>2008</v>
      </c>
      <c r="K267" s="63">
        <v>2009</v>
      </c>
      <c r="L267" s="63">
        <v>2010</v>
      </c>
      <c r="M267" s="63">
        <v>2011</v>
      </c>
      <c r="N267" s="63">
        <v>2012</v>
      </c>
      <c r="O267" s="63">
        <v>2013</v>
      </c>
      <c r="P267" s="63">
        <v>2014</v>
      </c>
      <c r="Q267" s="64">
        <v>2008</v>
      </c>
      <c r="R267" s="63">
        <v>2009</v>
      </c>
      <c r="S267" s="63">
        <v>2010</v>
      </c>
      <c r="T267" s="63">
        <v>2011</v>
      </c>
      <c r="U267" s="63">
        <v>2012</v>
      </c>
      <c r="V267" s="63">
        <v>2013</v>
      </c>
      <c r="W267" s="65">
        <v>2014</v>
      </c>
      <c r="X267" s="63">
        <v>2008</v>
      </c>
      <c r="Y267" s="63">
        <v>2009</v>
      </c>
      <c r="Z267" s="63">
        <v>2010</v>
      </c>
      <c r="AA267" s="63">
        <v>2011</v>
      </c>
      <c r="AB267" s="63">
        <v>2012</v>
      </c>
      <c r="AC267" s="63">
        <v>2013</v>
      </c>
      <c r="AD267" s="65">
        <v>2014</v>
      </c>
    </row>
    <row r="268" spans="2:30" x14ac:dyDescent="0.25">
      <c r="B268" s="4" t="s">
        <v>27</v>
      </c>
      <c r="C268" s="66" t="s">
        <v>450</v>
      </c>
      <c r="D268" s="13" t="s">
        <v>462</v>
      </c>
      <c r="E268" s="13" t="s">
        <v>273</v>
      </c>
      <c r="F268" s="13" t="s">
        <v>332</v>
      </c>
      <c r="G268" s="13" t="s">
        <v>275</v>
      </c>
      <c r="H268" s="13" t="s">
        <v>149</v>
      </c>
      <c r="I268" s="14" t="s">
        <v>271</v>
      </c>
      <c r="J268" s="13">
        <v>10.8</v>
      </c>
      <c r="K268" s="13">
        <v>11.7</v>
      </c>
      <c r="L268" s="13">
        <v>11.8</v>
      </c>
      <c r="M268" s="13">
        <v>11.2</v>
      </c>
      <c r="N268" s="13">
        <v>12.8</v>
      </c>
      <c r="O268" s="13">
        <v>14.2</v>
      </c>
      <c r="P268" s="13">
        <v>14.4</v>
      </c>
      <c r="Q268" s="66">
        <v>45.58932181939813</v>
      </c>
      <c r="R268" s="13">
        <v>45.839974508166186</v>
      </c>
      <c r="S268" s="13">
        <v>48.004126640933762</v>
      </c>
      <c r="T268" s="13">
        <v>48.038597373308058</v>
      </c>
      <c r="U268" s="13">
        <v>54.306371165300021</v>
      </c>
      <c r="V268" s="13">
        <v>59.615510118917932</v>
      </c>
      <c r="W268" s="14">
        <v>62.267688610848481</v>
      </c>
      <c r="X268" s="5">
        <v>13</v>
      </c>
      <c r="Y268" s="5">
        <v>14</v>
      </c>
      <c r="Z268" s="5">
        <v>12</v>
      </c>
      <c r="AA268" s="5">
        <v>13</v>
      </c>
      <c r="AB268" s="5">
        <v>11</v>
      </c>
      <c r="AC268" s="5">
        <v>11</v>
      </c>
      <c r="AD268" s="6">
        <v>9</v>
      </c>
    </row>
    <row r="269" spans="2:30" x14ac:dyDescent="0.25">
      <c r="B269" s="4" t="s">
        <v>28</v>
      </c>
      <c r="C269" s="66" t="s">
        <v>354</v>
      </c>
      <c r="D269" s="13" t="s">
        <v>634</v>
      </c>
      <c r="E269" s="13" t="s">
        <v>635</v>
      </c>
      <c r="F269" s="13" t="s">
        <v>296</v>
      </c>
      <c r="G269" s="13" t="s">
        <v>331</v>
      </c>
      <c r="H269" s="13" t="s">
        <v>634</v>
      </c>
      <c r="I269" s="14" t="s">
        <v>456</v>
      </c>
      <c r="J269" s="13">
        <v>6.8</v>
      </c>
      <c r="K269" s="13">
        <v>8.8000000000000007</v>
      </c>
      <c r="L269" s="13">
        <v>8.4</v>
      </c>
      <c r="M269" s="13">
        <v>7.7</v>
      </c>
      <c r="N269" s="13">
        <v>8.6</v>
      </c>
      <c r="O269" s="13">
        <v>8.6999999999999993</v>
      </c>
      <c r="P269" s="13">
        <v>9.6999999999999993</v>
      </c>
      <c r="Q269" s="66">
        <v>34.233092940607087</v>
      </c>
      <c r="R269" s="13">
        <v>37.854299095946203</v>
      </c>
      <c r="S269" s="13">
        <v>36.892597764728798</v>
      </c>
      <c r="T269" s="13">
        <v>35.308964431863757</v>
      </c>
      <c r="U269" s="13">
        <v>39.278797009831706</v>
      </c>
      <c r="V269" s="13">
        <v>37.966554588020855</v>
      </c>
      <c r="W269" s="14">
        <v>43.116706153106357</v>
      </c>
      <c r="X269" s="5">
        <v>17</v>
      </c>
      <c r="Y269" s="5">
        <v>16</v>
      </c>
      <c r="Z269" s="5">
        <v>17</v>
      </c>
      <c r="AA269" s="5">
        <v>17</v>
      </c>
      <c r="AB269" s="5">
        <v>15</v>
      </c>
      <c r="AC269" s="5">
        <v>16</v>
      </c>
      <c r="AD269" s="6">
        <v>14</v>
      </c>
    </row>
    <row r="270" spans="2:30" x14ac:dyDescent="0.25">
      <c r="B270" s="4" t="s">
        <v>29</v>
      </c>
      <c r="C270" s="66" t="s">
        <v>498</v>
      </c>
      <c r="D270" s="13" t="s">
        <v>331</v>
      </c>
      <c r="E270" s="13" t="s">
        <v>449</v>
      </c>
      <c r="F270" s="13" t="s">
        <v>636</v>
      </c>
      <c r="G270" s="13" t="s">
        <v>434</v>
      </c>
      <c r="H270" s="13" t="s">
        <v>636</v>
      </c>
      <c r="I270" s="14" t="s">
        <v>151</v>
      </c>
      <c r="J270" s="13">
        <v>7.1</v>
      </c>
      <c r="K270" s="13">
        <v>9.1</v>
      </c>
      <c r="L270" s="13">
        <v>8.3000000000000007</v>
      </c>
      <c r="M270" s="13">
        <v>7.5</v>
      </c>
      <c r="N270" s="13">
        <v>3.8</v>
      </c>
      <c r="O270" s="13">
        <v>7.9</v>
      </c>
      <c r="P270" s="13">
        <v>3.9</v>
      </c>
      <c r="Q270" s="66">
        <v>35.084810106516414</v>
      </c>
      <c r="R270" s="13">
        <v>38.680403448934477</v>
      </c>
      <c r="S270" s="13">
        <v>36.565788091899236</v>
      </c>
      <c r="T270" s="13">
        <v>34.581556835209796</v>
      </c>
      <c r="U270" s="13">
        <v>22.104426546439349</v>
      </c>
      <c r="V270" s="13">
        <v>34.817615601708553</v>
      </c>
      <c r="W270" s="14">
        <v>19.483578864828853</v>
      </c>
      <c r="X270" s="5">
        <v>16</v>
      </c>
      <c r="Y270" s="5">
        <v>15</v>
      </c>
      <c r="Z270" s="5">
        <v>18</v>
      </c>
      <c r="AA270" s="5">
        <v>18</v>
      </c>
      <c r="AB270" s="5">
        <v>26</v>
      </c>
      <c r="AC270" s="5">
        <v>18</v>
      </c>
      <c r="AD270" s="6">
        <v>26</v>
      </c>
    </row>
    <row r="271" spans="2:30" x14ac:dyDescent="0.25">
      <c r="B271" s="4" t="s">
        <v>30</v>
      </c>
      <c r="C271" s="66" t="s">
        <v>478</v>
      </c>
      <c r="D271" s="13" t="s">
        <v>636</v>
      </c>
      <c r="E271" s="13" t="s">
        <v>165</v>
      </c>
      <c r="F271" s="13" t="s">
        <v>163</v>
      </c>
      <c r="G271" s="13" t="s">
        <v>478</v>
      </c>
      <c r="H271" s="13" t="s">
        <v>636</v>
      </c>
      <c r="I271" s="14" t="s">
        <v>166</v>
      </c>
      <c r="J271" s="13">
        <v>6.7</v>
      </c>
      <c r="K271" s="13">
        <v>7.6</v>
      </c>
      <c r="L271" s="13">
        <v>7</v>
      </c>
      <c r="M271" s="13">
        <v>5.8</v>
      </c>
      <c r="N271" s="13">
        <v>7.2</v>
      </c>
      <c r="O271" s="13">
        <v>7.9</v>
      </c>
      <c r="P271" s="13">
        <v>6.6</v>
      </c>
      <c r="Q271" s="66">
        <v>33.949187218637306</v>
      </c>
      <c r="R271" s="13">
        <v>34.549881683993107</v>
      </c>
      <c r="S271" s="13">
        <v>32.317262345114983</v>
      </c>
      <c r="T271" s="13">
        <v>28.398592263651132</v>
      </c>
      <c r="U271" s="13">
        <v>34.269605624675606</v>
      </c>
      <c r="V271" s="13">
        <v>34.817615601708553</v>
      </c>
      <c r="W271" s="14">
        <v>30.485207085233899</v>
      </c>
      <c r="X271" s="5">
        <v>18</v>
      </c>
      <c r="Y271" s="5">
        <v>18</v>
      </c>
      <c r="Z271" s="5">
        <v>19</v>
      </c>
      <c r="AA271" s="5">
        <v>22</v>
      </c>
      <c r="AB271" s="5">
        <v>18</v>
      </c>
      <c r="AC271" s="5">
        <v>18</v>
      </c>
      <c r="AD271" s="6">
        <v>20</v>
      </c>
    </row>
    <row r="272" spans="2:30" x14ac:dyDescent="0.25">
      <c r="B272" s="4" t="s">
        <v>31</v>
      </c>
      <c r="C272" s="66" t="s">
        <v>334</v>
      </c>
      <c r="D272" s="13" t="s">
        <v>334</v>
      </c>
      <c r="E272" s="13" t="s">
        <v>167</v>
      </c>
      <c r="F272" s="13" t="s">
        <v>116</v>
      </c>
      <c r="G272" s="13" t="s">
        <v>156</v>
      </c>
      <c r="H272" s="13" t="s">
        <v>293</v>
      </c>
      <c r="I272" s="14" t="s">
        <v>122</v>
      </c>
      <c r="J272" s="13">
        <v>19.100000000000001</v>
      </c>
      <c r="K272" s="13">
        <v>20.100000000000001</v>
      </c>
      <c r="L272" s="13">
        <v>19.3</v>
      </c>
      <c r="M272" s="13">
        <v>14.8</v>
      </c>
      <c r="N272" s="13">
        <v>11.7</v>
      </c>
      <c r="O272" s="13">
        <v>18.100000000000001</v>
      </c>
      <c r="P272" s="13">
        <v>8.9</v>
      </c>
      <c r="Q272" s="66">
        <v>69.153496742889544</v>
      </c>
      <c r="R272" s="13">
        <v>68.970896391837869</v>
      </c>
      <c r="S272" s="13">
        <v>72.514852103150602</v>
      </c>
      <c r="T272" s="13">
        <v>61.131934113079353</v>
      </c>
      <c r="U272" s="13">
        <v>50.370577934105931</v>
      </c>
      <c r="V272" s="13">
        <v>74.966587677190404</v>
      </c>
      <c r="W272" s="14">
        <v>39.856964458171532</v>
      </c>
      <c r="X272" s="5">
        <v>5</v>
      </c>
      <c r="Y272" s="5">
        <v>5</v>
      </c>
      <c r="Z272" s="5">
        <v>5</v>
      </c>
      <c r="AA272" s="5">
        <v>9</v>
      </c>
      <c r="AB272" s="5">
        <v>13</v>
      </c>
      <c r="AC272" s="5">
        <v>5</v>
      </c>
      <c r="AD272" s="6">
        <v>17</v>
      </c>
    </row>
    <row r="273" spans="2:30" x14ac:dyDescent="0.25">
      <c r="B273" s="4" t="s">
        <v>32</v>
      </c>
      <c r="C273" s="66" t="s">
        <v>465</v>
      </c>
      <c r="D273" s="13" t="s">
        <v>487</v>
      </c>
      <c r="E273" s="13" t="s">
        <v>271</v>
      </c>
      <c r="F273" s="13" t="s">
        <v>594</v>
      </c>
      <c r="G273" s="13" t="s">
        <v>572</v>
      </c>
      <c r="H273" s="13" t="s">
        <v>534</v>
      </c>
      <c r="I273" s="14" t="s">
        <v>572</v>
      </c>
      <c r="J273" s="13">
        <v>14.1</v>
      </c>
      <c r="K273" s="13">
        <v>15.2</v>
      </c>
      <c r="L273" s="13">
        <v>16.100000000000001</v>
      </c>
      <c r="M273" s="13">
        <v>16.399999999999999</v>
      </c>
      <c r="N273" s="13">
        <v>16.100000000000001</v>
      </c>
      <c r="O273" s="13">
        <v>15.1</v>
      </c>
      <c r="P273" s="13">
        <v>15.3</v>
      </c>
      <c r="Q273" s="66">
        <v>54.958210644400737</v>
      </c>
      <c r="R273" s="13">
        <v>55.477858626362725</v>
      </c>
      <c r="S273" s="13">
        <v>62.056942572604754</v>
      </c>
      <c r="T273" s="13">
        <v>66.951194886311015</v>
      </c>
      <c r="U273" s="13">
        <v>66.11375085888227</v>
      </c>
      <c r="V273" s="13">
        <v>63.158066478519274</v>
      </c>
      <c r="W273" s="14">
        <v>65.93489801765017</v>
      </c>
      <c r="X273" s="5">
        <v>10</v>
      </c>
      <c r="Y273" s="5">
        <v>9</v>
      </c>
      <c r="Z273" s="5">
        <v>9</v>
      </c>
      <c r="AA273" s="5">
        <v>7</v>
      </c>
      <c r="AB273" s="5">
        <v>8</v>
      </c>
      <c r="AC273" s="5">
        <v>9</v>
      </c>
      <c r="AD273" s="6">
        <v>8</v>
      </c>
    </row>
    <row r="274" spans="2:30" x14ac:dyDescent="0.25">
      <c r="B274" s="4" t="s">
        <v>33</v>
      </c>
      <c r="C274" s="66" t="s">
        <v>637</v>
      </c>
      <c r="D274" s="13" t="s">
        <v>274</v>
      </c>
      <c r="E274" s="13" t="s">
        <v>168</v>
      </c>
      <c r="F274" s="13" t="s">
        <v>497</v>
      </c>
      <c r="G274" s="13" t="s">
        <v>323</v>
      </c>
      <c r="H274" s="13" t="s">
        <v>638</v>
      </c>
      <c r="I274" s="14" t="s">
        <v>343</v>
      </c>
      <c r="J274" s="13">
        <v>10.7</v>
      </c>
      <c r="K274" s="13">
        <v>12.3</v>
      </c>
      <c r="L274" s="13">
        <v>9.3000000000000007</v>
      </c>
      <c r="M274" s="13">
        <v>9.3000000000000007</v>
      </c>
      <c r="N274" s="13">
        <v>9.4</v>
      </c>
      <c r="O274" s="13">
        <v>9.3000000000000007</v>
      </c>
      <c r="P274" s="13">
        <v>9.9</v>
      </c>
      <c r="Q274" s="66">
        <v>45.305416097428349</v>
      </c>
      <c r="R274" s="13">
        <v>47.492183214142742</v>
      </c>
      <c r="S274" s="13">
        <v>39.833884820194818</v>
      </c>
      <c r="T274" s="13">
        <v>41.12822520509544</v>
      </c>
      <c r="U274" s="13">
        <v>42.141192087063764</v>
      </c>
      <c r="V274" s="13">
        <v>40.328258827755086</v>
      </c>
      <c r="W274" s="14">
        <v>43.931641576840065</v>
      </c>
      <c r="X274" s="5">
        <v>14</v>
      </c>
      <c r="Y274" s="5">
        <v>13</v>
      </c>
      <c r="Z274" s="5">
        <v>16</v>
      </c>
      <c r="AA274" s="5">
        <v>14</v>
      </c>
      <c r="AB274" s="5">
        <v>14</v>
      </c>
      <c r="AC274" s="5">
        <v>15</v>
      </c>
      <c r="AD274" s="6">
        <v>13</v>
      </c>
    </row>
    <row r="275" spans="2:30" x14ac:dyDescent="0.25">
      <c r="B275" s="4" t="s">
        <v>34</v>
      </c>
      <c r="C275" s="66" t="s">
        <v>333</v>
      </c>
      <c r="D275" s="13" t="s">
        <v>452</v>
      </c>
      <c r="E275" s="13" t="s">
        <v>639</v>
      </c>
      <c r="F275" s="13" t="s">
        <v>116</v>
      </c>
      <c r="G275" s="13" t="s">
        <v>341</v>
      </c>
      <c r="H275" s="13" t="s">
        <v>154</v>
      </c>
      <c r="I275" s="14" t="s">
        <v>155</v>
      </c>
      <c r="J275" s="13">
        <v>7.5</v>
      </c>
      <c r="K275" s="13">
        <v>6.9</v>
      </c>
      <c r="L275" s="13">
        <v>10.4</v>
      </c>
      <c r="M275" s="13">
        <v>14.8</v>
      </c>
      <c r="N275" s="13">
        <v>14.1</v>
      </c>
      <c r="O275" s="13">
        <v>15</v>
      </c>
      <c r="P275" s="13">
        <v>16.3</v>
      </c>
      <c r="Q275" s="66">
        <v>36.220432994395516</v>
      </c>
      <c r="R275" s="13">
        <v>32.6223048603538</v>
      </c>
      <c r="S275" s="13">
        <v>43.428791221319955</v>
      </c>
      <c r="T275" s="13">
        <v>61.131934113079353</v>
      </c>
      <c r="U275" s="13">
        <v>58.957763165802113</v>
      </c>
      <c r="V275" s="13">
        <v>62.764449105230234</v>
      </c>
      <c r="W275" s="14">
        <v>70.009575136318702</v>
      </c>
      <c r="X275" s="5">
        <v>15</v>
      </c>
      <c r="Y275" s="5">
        <v>19</v>
      </c>
      <c r="Z275" s="5">
        <v>13</v>
      </c>
      <c r="AA275" s="5">
        <v>9</v>
      </c>
      <c r="AB275" s="5">
        <v>10</v>
      </c>
      <c r="AC275" s="5">
        <v>10</v>
      </c>
      <c r="AD275" s="6">
        <v>6</v>
      </c>
    </row>
    <row r="276" spans="2:30" x14ac:dyDescent="0.25">
      <c r="B276" s="4" t="s">
        <v>35</v>
      </c>
      <c r="C276" s="66" t="s">
        <v>117</v>
      </c>
      <c r="D276" s="13" t="s">
        <v>158</v>
      </c>
      <c r="E276" s="13" t="s">
        <v>323</v>
      </c>
      <c r="F276" s="13" t="s">
        <v>308</v>
      </c>
      <c r="G276" s="13" t="s">
        <v>296</v>
      </c>
      <c r="H276" s="13" t="s">
        <v>163</v>
      </c>
      <c r="I276" s="14" t="s">
        <v>166</v>
      </c>
      <c r="J276" s="13">
        <v>17.3</v>
      </c>
      <c r="K276" s="13">
        <v>13.9</v>
      </c>
      <c r="L276" s="13">
        <v>10</v>
      </c>
      <c r="M276" s="13">
        <v>8</v>
      </c>
      <c r="N276" s="13">
        <v>7.3</v>
      </c>
      <c r="O276" s="13">
        <v>6.2</v>
      </c>
      <c r="P276" s="13">
        <v>6.6</v>
      </c>
      <c r="Q276" s="66">
        <v>64.043193747433577</v>
      </c>
      <c r="R276" s="13">
        <v>51.89807309674687</v>
      </c>
      <c r="S276" s="13">
        <v>42.121552530001722</v>
      </c>
      <c r="T276" s="13">
        <v>36.400075826844692</v>
      </c>
      <c r="U276" s="13">
        <v>34.627405009329607</v>
      </c>
      <c r="V276" s="13">
        <v>28.126120255794913</v>
      </c>
      <c r="W276" s="14">
        <v>30.485207085233899</v>
      </c>
      <c r="X276" s="5">
        <v>7</v>
      </c>
      <c r="Y276" s="5">
        <v>12</v>
      </c>
      <c r="Z276" s="5">
        <v>14</v>
      </c>
      <c r="AA276" s="5">
        <v>16</v>
      </c>
      <c r="AB276" s="5">
        <v>17</v>
      </c>
      <c r="AC276" s="5">
        <v>22</v>
      </c>
      <c r="AD276" s="6">
        <v>20</v>
      </c>
    </row>
    <row r="277" spans="2:30" x14ac:dyDescent="0.25">
      <c r="B277" s="4" t="s">
        <v>36</v>
      </c>
      <c r="C277" s="66" t="s">
        <v>377</v>
      </c>
      <c r="D277" s="13" t="s">
        <v>278</v>
      </c>
      <c r="E277" s="13" t="s">
        <v>640</v>
      </c>
      <c r="F277" s="13" t="s">
        <v>293</v>
      </c>
      <c r="G277" s="13" t="s">
        <v>614</v>
      </c>
      <c r="H277" s="13" t="s">
        <v>276</v>
      </c>
      <c r="I277" s="14" t="s">
        <v>146</v>
      </c>
      <c r="J277" s="13">
        <v>17.600000000000001</v>
      </c>
      <c r="K277" s="13">
        <v>19.7</v>
      </c>
      <c r="L277" s="13">
        <v>20.399999999999999</v>
      </c>
      <c r="M277" s="13">
        <v>18.7</v>
      </c>
      <c r="N277" s="13">
        <v>20</v>
      </c>
      <c r="O277" s="13">
        <v>20.399999999999999</v>
      </c>
      <c r="P277" s="13">
        <v>20.6</v>
      </c>
      <c r="Q277" s="66">
        <v>64.894910913342912</v>
      </c>
      <c r="R277" s="13">
        <v>67.869423921186836</v>
      </c>
      <c r="S277" s="13">
        <v>76.109758504275732</v>
      </c>
      <c r="T277" s="13">
        <v>75.316382247831569</v>
      </c>
      <c r="U277" s="13">
        <v>80.067926860388553</v>
      </c>
      <c r="V277" s="13">
        <v>84.019787262838264</v>
      </c>
      <c r="W277" s="14">
        <v>87.530686746593403</v>
      </c>
      <c r="X277" s="5">
        <v>6</v>
      </c>
      <c r="Y277" s="5">
        <v>6</v>
      </c>
      <c r="Z277" s="5">
        <v>4</v>
      </c>
      <c r="AA277" s="5">
        <v>5</v>
      </c>
      <c r="AB277" s="5">
        <v>4</v>
      </c>
      <c r="AC277" s="5">
        <v>3</v>
      </c>
      <c r="AD277" s="6">
        <v>2</v>
      </c>
    </row>
    <row r="278" spans="2:30" x14ac:dyDescent="0.25">
      <c r="B278" s="4" t="s">
        <v>37</v>
      </c>
      <c r="C278" s="66" t="s">
        <v>382</v>
      </c>
      <c r="D278" s="13" t="s">
        <v>305</v>
      </c>
      <c r="E278" s="13" t="s">
        <v>160</v>
      </c>
      <c r="F278" s="13" t="s">
        <v>143</v>
      </c>
      <c r="G278" s="13" t="s">
        <v>169</v>
      </c>
      <c r="H278" s="13" t="s">
        <v>149</v>
      </c>
      <c r="I278" s="14" t="s">
        <v>603</v>
      </c>
      <c r="J278" s="13">
        <v>12.4</v>
      </c>
      <c r="K278" s="13">
        <v>14</v>
      </c>
      <c r="L278" s="13">
        <v>14</v>
      </c>
      <c r="M278" s="13">
        <v>13.5</v>
      </c>
      <c r="N278" s="13">
        <v>14.2</v>
      </c>
      <c r="O278" s="13">
        <v>14.2</v>
      </c>
      <c r="P278" s="13">
        <v>14.2</v>
      </c>
      <c r="Q278" s="66">
        <v>50.13181337091455</v>
      </c>
      <c r="R278" s="13">
        <v>52.173441214409628</v>
      </c>
      <c r="S278" s="13">
        <v>55.193939443184036</v>
      </c>
      <c r="T278" s="13">
        <v>56.403784734828605</v>
      </c>
      <c r="U278" s="13">
        <v>59.315562550456121</v>
      </c>
      <c r="V278" s="13">
        <v>59.615510118917932</v>
      </c>
      <c r="W278" s="14">
        <v>61.452753187114766</v>
      </c>
      <c r="X278" s="5">
        <v>12</v>
      </c>
      <c r="Y278" s="5">
        <v>11</v>
      </c>
      <c r="Z278" s="5">
        <v>11</v>
      </c>
      <c r="AA278" s="5">
        <v>12</v>
      </c>
      <c r="AB278" s="5">
        <v>9</v>
      </c>
      <c r="AC278" s="5">
        <v>11</v>
      </c>
      <c r="AD278" s="6">
        <v>11</v>
      </c>
    </row>
    <row r="279" spans="2:30" x14ac:dyDescent="0.25">
      <c r="B279" s="4" t="s">
        <v>38</v>
      </c>
      <c r="C279" s="66" t="s">
        <v>411</v>
      </c>
      <c r="D279" s="13" t="s">
        <v>641</v>
      </c>
      <c r="E279" s="13" t="s">
        <v>422</v>
      </c>
      <c r="F279" s="13" t="s">
        <v>418</v>
      </c>
      <c r="G279" s="13" t="s">
        <v>437</v>
      </c>
      <c r="H279" s="13" t="s">
        <v>642</v>
      </c>
      <c r="I279" s="14" t="s">
        <v>421</v>
      </c>
      <c r="J279" s="13">
        <v>5</v>
      </c>
      <c r="K279" s="13">
        <v>5.5</v>
      </c>
      <c r="L279" s="13">
        <v>4.5999999999999996</v>
      </c>
      <c r="M279" s="13">
        <v>4.0999999999999996</v>
      </c>
      <c r="N279" s="13">
        <v>3.2</v>
      </c>
      <c r="O279" s="13">
        <v>2.6</v>
      </c>
      <c r="P279" s="13">
        <v>3.7</v>
      </c>
      <c r="Q279" s="66">
        <v>29.122789945151116</v>
      </c>
      <c r="R279" s="13">
        <v>28.767151213075188</v>
      </c>
      <c r="S279" s="13">
        <v>24.473830197205597</v>
      </c>
      <c r="T279" s="13">
        <v>22.215627692092465</v>
      </c>
      <c r="U279" s="13">
        <v>19.9576302385153</v>
      </c>
      <c r="V279" s="13">
        <v>13.955894817389556</v>
      </c>
      <c r="W279" s="14">
        <v>18.668643441095146</v>
      </c>
      <c r="X279" s="5">
        <v>25</v>
      </c>
      <c r="Y279" s="5">
        <v>24</v>
      </c>
      <c r="Z279" s="5">
        <v>27</v>
      </c>
      <c r="AA279" s="5">
        <v>27</v>
      </c>
      <c r="AB279" s="5">
        <v>28</v>
      </c>
      <c r="AC279" s="5">
        <v>28</v>
      </c>
      <c r="AD279" s="6">
        <v>27</v>
      </c>
    </row>
    <row r="280" spans="2:30" x14ac:dyDescent="0.25">
      <c r="B280" s="4" t="s">
        <v>39</v>
      </c>
      <c r="C280" s="66" t="s">
        <v>631</v>
      </c>
      <c r="D280" s="13" t="s">
        <v>643</v>
      </c>
      <c r="E280" s="13" t="s">
        <v>485</v>
      </c>
      <c r="F280" s="13" t="s">
        <v>361</v>
      </c>
      <c r="G280" s="13" t="s">
        <v>563</v>
      </c>
      <c r="H280" s="13" t="s">
        <v>432</v>
      </c>
      <c r="I280" s="14" t="s">
        <v>271</v>
      </c>
      <c r="J280" s="13">
        <v>20.2</v>
      </c>
      <c r="K280" s="13">
        <v>22.2</v>
      </c>
      <c r="L280" s="13">
        <v>21.8</v>
      </c>
      <c r="M280" s="13">
        <v>20.9</v>
      </c>
      <c r="N280" s="13">
        <v>17.3</v>
      </c>
      <c r="O280" s="13">
        <v>16.3</v>
      </c>
      <c r="P280" s="13">
        <v>14.4</v>
      </c>
      <c r="Q280" s="66">
        <v>72.276459684557082</v>
      </c>
      <c r="R280" s="13">
        <v>74.753626862755794</v>
      </c>
      <c r="S280" s="13">
        <v>80.685093923889553</v>
      </c>
      <c r="T280" s="13">
        <v>83.317865811025129</v>
      </c>
      <c r="U280" s="13">
        <v>70.407343474730354</v>
      </c>
      <c r="V280" s="13">
        <v>67.881474957987734</v>
      </c>
      <c r="W280" s="14">
        <v>62.267688610848481</v>
      </c>
      <c r="X280" s="5">
        <v>4</v>
      </c>
      <c r="Y280" s="5">
        <v>3</v>
      </c>
      <c r="Z280" s="5">
        <v>3</v>
      </c>
      <c r="AA280" s="5">
        <v>3</v>
      </c>
      <c r="AB280" s="5">
        <v>7</v>
      </c>
      <c r="AC280" s="5">
        <v>7</v>
      </c>
      <c r="AD280" s="6">
        <v>9</v>
      </c>
    </row>
    <row r="281" spans="2:30" x14ac:dyDescent="0.25">
      <c r="B281" s="4" t="s">
        <v>40</v>
      </c>
      <c r="C281" s="66" t="s">
        <v>276</v>
      </c>
      <c r="D281" s="13" t="s">
        <v>355</v>
      </c>
      <c r="E281" s="13" t="s">
        <v>164</v>
      </c>
      <c r="F281" s="13" t="s">
        <v>492</v>
      </c>
      <c r="G281" s="13" t="s">
        <v>361</v>
      </c>
      <c r="H281" s="13" t="s">
        <v>492</v>
      </c>
      <c r="I281" s="14" t="s">
        <v>550</v>
      </c>
      <c r="J281" s="13">
        <v>24.3</v>
      </c>
      <c r="K281" s="13">
        <v>22.1</v>
      </c>
      <c r="L281" s="13">
        <v>18.899999999999999</v>
      </c>
      <c r="M281" s="13">
        <v>20.3</v>
      </c>
      <c r="N281" s="13">
        <v>20.7</v>
      </c>
      <c r="O281" s="13">
        <v>19.7</v>
      </c>
      <c r="P281" s="13">
        <v>19.3</v>
      </c>
      <c r="Q281" s="66">
        <v>83.916594285317899</v>
      </c>
      <c r="R281" s="13">
        <v>74.478258745093044</v>
      </c>
      <c r="S281" s="13">
        <v>71.207613411832369</v>
      </c>
      <c r="T281" s="13">
        <v>81.13564302106326</v>
      </c>
      <c r="U281" s="13">
        <v>82.572522552966603</v>
      </c>
      <c r="V281" s="13">
        <v>81.264465649815008</v>
      </c>
      <c r="W281" s="14">
        <v>82.233606492324299</v>
      </c>
      <c r="X281" s="5">
        <v>3</v>
      </c>
      <c r="Y281" s="5">
        <v>4</v>
      </c>
      <c r="Z281" s="5">
        <v>6</v>
      </c>
      <c r="AA281" s="5">
        <v>4</v>
      </c>
      <c r="AB281" s="5">
        <v>3</v>
      </c>
      <c r="AC281" s="5">
        <v>4</v>
      </c>
      <c r="AD281" s="6">
        <v>4</v>
      </c>
    </row>
    <row r="282" spans="2:30" x14ac:dyDescent="0.25">
      <c r="B282" s="4" t="s">
        <v>41</v>
      </c>
      <c r="C282" s="66" t="s">
        <v>509</v>
      </c>
      <c r="D282" s="13" t="s">
        <v>453</v>
      </c>
      <c r="E282" s="13" t="s">
        <v>162</v>
      </c>
      <c r="F282" s="13" t="s">
        <v>162</v>
      </c>
      <c r="G282" s="13" t="s">
        <v>310</v>
      </c>
      <c r="H282" s="13" t="s">
        <v>510</v>
      </c>
      <c r="I282" s="14" t="s">
        <v>310</v>
      </c>
      <c r="J282" s="13">
        <v>5.9</v>
      </c>
      <c r="K282" s="13">
        <v>6.8</v>
      </c>
      <c r="L282" s="13">
        <v>6.5</v>
      </c>
      <c r="M282" s="13">
        <v>6.4</v>
      </c>
      <c r="N282" s="13">
        <v>6.4</v>
      </c>
      <c r="O282" s="13">
        <v>6.6</v>
      </c>
      <c r="P282" s="13">
        <v>6.7</v>
      </c>
      <c r="Q282" s="66">
        <v>31.677941442879103</v>
      </c>
      <c r="R282" s="13">
        <v>32.346936742691042</v>
      </c>
      <c r="S282" s="13">
        <v>30.683213980967196</v>
      </c>
      <c r="T282" s="13">
        <v>30.580815053613016</v>
      </c>
      <c r="U282" s="13">
        <v>31.407210547443544</v>
      </c>
      <c r="V282" s="13">
        <v>29.70058974895106</v>
      </c>
      <c r="W282" s="14">
        <v>30.892674797100753</v>
      </c>
      <c r="X282" s="5">
        <v>21</v>
      </c>
      <c r="Y282" s="5">
        <v>20</v>
      </c>
      <c r="Z282" s="5">
        <v>21</v>
      </c>
      <c r="AA282" s="5">
        <v>21</v>
      </c>
      <c r="AB282" s="5">
        <v>19</v>
      </c>
      <c r="AC282" s="5">
        <v>21</v>
      </c>
      <c r="AD282" s="6">
        <v>19</v>
      </c>
    </row>
    <row r="283" spans="2:30" x14ac:dyDescent="0.25">
      <c r="B283" s="4" t="s">
        <v>42</v>
      </c>
      <c r="C283" s="66" t="s">
        <v>406</v>
      </c>
      <c r="D283" s="13" t="s">
        <v>406</v>
      </c>
      <c r="E283" s="13" t="s">
        <v>457</v>
      </c>
      <c r="F283" s="13" t="s">
        <v>165</v>
      </c>
      <c r="G283" s="13" t="s">
        <v>310</v>
      </c>
      <c r="H283" s="13" t="s">
        <v>296</v>
      </c>
      <c r="I283" s="14" t="s">
        <v>324</v>
      </c>
      <c r="J283" s="13">
        <v>4.5999999999999996</v>
      </c>
      <c r="K283" s="13">
        <v>5.3</v>
      </c>
      <c r="L283" s="13">
        <v>4.8</v>
      </c>
      <c r="M283" s="13">
        <v>6.7</v>
      </c>
      <c r="N283" s="13">
        <v>6.4</v>
      </c>
      <c r="O283" s="13">
        <v>8</v>
      </c>
      <c r="P283" s="13">
        <v>9.1999999999999993</v>
      </c>
      <c r="Q283" s="66">
        <v>27.987167057272011</v>
      </c>
      <c r="R283" s="13">
        <v>28.216414977749668</v>
      </c>
      <c r="S283" s="13">
        <v>25.127449542864714</v>
      </c>
      <c r="T283" s="13">
        <v>31.671926448593954</v>
      </c>
      <c r="U283" s="13">
        <v>31.407210547443544</v>
      </c>
      <c r="V283" s="13">
        <v>35.211232974997593</v>
      </c>
      <c r="W283" s="14">
        <v>41.079367593772091</v>
      </c>
      <c r="X283" s="5">
        <v>26</v>
      </c>
      <c r="Y283" s="5">
        <v>26</v>
      </c>
      <c r="Z283" s="5">
        <v>25</v>
      </c>
      <c r="AA283" s="5">
        <v>19</v>
      </c>
      <c r="AB283" s="5">
        <v>19</v>
      </c>
      <c r="AC283" s="5">
        <v>17</v>
      </c>
      <c r="AD283" s="6">
        <v>16</v>
      </c>
    </row>
    <row r="284" spans="2:30" x14ac:dyDescent="0.25">
      <c r="B284" s="4" t="s">
        <v>43</v>
      </c>
      <c r="C284" s="66" t="s">
        <v>452</v>
      </c>
      <c r="D284" s="13" t="s">
        <v>493</v>
      </c>
      <c r="E284" s="13" t="s">
        <v>161</v>
      </c>
      <c r="F284" s="13" t="s">
        <v>170</v>
      </c>
      <c r="G284" s="13" t="s">
        <v>588</v>
      </c>
      <c r="H284" s="13" t="s">
        <v>171</v>
      </c>
      <c r="I284" s="14" t="s">
        <v>493</v>
      </c>
      <c r="J284" s="13">
        <v>6.5</v>
      </c>
      <c r="K284" s="13">
        <v>5.8</v>
      </c>
      <c r="L284" s="13">
        <v>6</v>
      </c>
      <c r="M284" s="13">
        <v>5.6</v>
      </c>
      <c r="N284" s="13">
        <v>5.8</v>
      </c>
      <c r="O284" s="13">
        <v>5.8</v>
      </c>
      <c r="P284" s="13">
        <v>6.4</v>
      </c>
      <c r="Q284" s="66">
        <v>33.381375774697759</v>
      </c>
      <c r="R284" s="13">
        <v>29.593255566063458</v>
      </c>
      <c r="S284" s="13">
        <v>29.049165616819408</v>
      </c>
      <c r="T284" s="13">
        <v>27.671184666997171</v>
      </c>
      <c r="U284" s="13">
        <v>29.260414239519498</v>
      </c>
      <c r="V284" s="13">
        <v>26.551650762638758</v>
      </c>
      <c r="W284" s="14">
        <v>29.670271661500191</v>
      </c>
      <c r="X284" s="5">
        <v>19</v>
      </c>
      <c r="Y284" s="5">
        <v>22</v>
      </c>
      <c r="Z284" s="5">
        <v>22</v>
      </c>
      <c r="AA284" s="5">
        <v>23</v>
      </c>
      <c r="AB284" s="5">
        <v>23</v>
      </c>
      <c r="AC284" s="5">
        <v>23</v>
      </c>
      <c r="AD284" s="6">
        <v>22</v>
      </c>
    </row>
    <row r="285" spans="2:30" x14ac:dyDescent="0.25">
      <c r="B285" s="4" t="s">
        <v>44</v>
      </c>
      <c r="C285" s="66" t="s">
        <v>147</v>
      </c>
      <c r="D285" s="13" t="s">
        <v>147</v>
      </c>
      <c r="E285" s="13" t="s">
        <v>147</v>
      </c>
      <c r="F285" s="13" t="s">
        <v>147</v>
      </c>
      <c r="G285" s="13" t="s">
        <v>147</v>
      </c>
      <c r="H285" s="13" t="s">
        <v>148</v>
      </c>
      <c r="I285" s="14" t="s">
        <v>276</v>
      </c>
      <c r="J285" s="13">
        <v>35.6</v>
      </c>
      <c r="K285" s="13">
        <v>41.9</v>
      </c>
      <c r="L285" s="13">
        <v>30.7</v>
      </c>
      <c r="M285" s="13">
        <v>25.8</v>
      </c>
      <c r="N285" s="13">
        <v>27.1</v>
      </c>
      <c r="O285" s="13">
        <v>22.2</v>
      </c>
      <c r="P285" s="13">
        <v>19.8</v>
      </c>
      <c r="Q285" s="66">
        <v>100</v>
      </c>
      <c r="R285" s="13">
        <v>100</v>
      </c>
      <c r="S285" s="13">
        <v>100</v>
      </c>
      <c r="T285" s="13">
        <v>100</v>
      </c>
      <c r="U285" s="13">
        <v>100</v>
      </c>
      <c r="V285" s="13">
        <v>91.104899982040962</v>
      </c>
      <c r="W285" s="14">
        <v>84.270945051658572</v>
      </c>
      <c r="X285" s="5">
        <v>1</v>
      </c>
      <c r="Y285" s="5">
        <v>1</v>
      </c>
      <c r="Z285" s="5">
        <v>1</v>
      </c>
      <c r="AA285" s="5">
        <v>1</v>
      </c>
      <c r="AB285" s="5">
        <v>1</v>
      </c>
      <c r="AC285" s="5">
        <v>2</v>
      </c>
      <c r="AD285" s="6">
        <v>3</v>
      </c>
    </row>
    <row r="286" spans="2:30" x14ac:dyDescent="0.25">
      <c r="B286" s="4" t="s">
        <v>18</v>
      </c>
      <c r="C286" s="66" t="s">
        <v>147</v>
      </c>
      <c r="D286" s="13" t="s">
        <v>147</v>
      </c>
      <c r="E286" s="13" t="s">
        <v>147</v>
      </c>
      <c r="F286" s="13" t="s">
        <v>147</v>
      </c>
      <c r="G286" s="13" t="s">
        <v>147</v>
      </c>
      <c r="H286" s="13" t="s">
        <v>147</v>
      </c>
      <c r="I286" s="14" t="s">
        <v>147</v>
      </c>
      <c r="J286" s="13">
        <v>38.299999999999997</v>
      </c>
      <c r="K286" s="13">
        <v>35.200000000000003</v>
      </c>
      <c r="L286" s="13">
        <v>32.9</v>
      </c>
      <c r="M286" s="13">
        <v>30.1</v>
      </c>
      <c r="N286" s="13">
        <v>29.6</v>
      </c>
      <c r="O286" s="13">
        <v>28.6</v>
      </c>
      <c r="P286" s="13">
        <v>28.9</v>
      </c>
      <c r="Q286" s="66">
        <v>100</v>
      </c>
      <c r="R286" s="13">
        <v>100</v>
      </c>
      <c r="S286" s="13">
        <v>100</v>
      </c>
      <c r="T286" s="13">
        <v>100</v>
      </c>
      <c r="U286" s="13">
        <v>100</v>
      </c>
      <c r="V286" s="13">
        <v>100</v>
      </c>
      <c r="W286" s="14">
        <v>100</v>
      </c>
      <c r="X286" s="5">
        <v>1</v>
      </c>
      <c r="Y286" s="5">
        <v>1</v>
      </c>
      <c r="Z286" s="5">
        <v>1</v>
      </c>
      <c r="AA286" s="5">
        <v>1</v>
      </c>
      <c r="AB286" s="5">
        <v>1</v>
      </c>
      <c r="AC286" s="5">
        <v>1</v>
      </c>
      <c r="AD286" s="6">
        <v>1</v>
      </c>
    </row>
    <row r="287" spans="2:30" x14ac:dyDescent="0.25">
      <c r="B287" s="4" t="s">
        <v>45</v>
      </c>
      <c r="C287" s="66" t="s">
        <v>141</v>
      </c>
      <c r="D287" s="13" t="s">
        <v>555</v>
      </c>
      <c r="E287" s="13" t="s">
        <v>563</v>
      </c>
      <c r="F287" s="13" t="s">
        <v>155</v>
      </c>
      <c r="G287" s="13" t="s">
        <v>150</v>
      </c>
      <c r="H287" s="13" t="s">
        <v>157</v>
      </c>
      <c r="I287" s="14" t="s">
        <v>150</v>
      </c>
      <c r="J287" s="13">
        <v>16.2</v>
      </c>
      <c r="K287" s="13">
        <v>18.399999999999999</v>
      </c>
      <c r="L287" s="13">
        <v>18.600000000000001</v>
      </c>
      <c r="M287" s="13">
        <v>17.2</v>
      </c>
      <c r="N287" s="13">
        <v>18.8</v>
      </c>
      <c r="O287" s="13">
        <v>17.7</v>
      </c>
      <c r="P287" s="13">
        <v>17.8</v>
      </c>
      <c r="Q287" s="66">
        <v>60.920230805766039</v>
      </c>
      <c r="R287" s="13">
        <v>64.289638391570989</v>
      </c>
      <c r="S287" s="13">
        <v>70.227184393343705</v>
      </c>
      <c r="T287" s="13">
        <v>69.86082527292686</v>
      </c>
      <c r="U287" s="13">
        <v>75.774334244540469</v>
      </c>
      <c r="V287" s="13">
        <v>73.392118184034246</v>
      </c>
      <c r="W287" s="14">
        <v>76.121590814321507</v>
      </c>
      <c r="X287" s="5">
        <v>8</v>
      </c>
      <c r="Y287" s="5">
        <v>8</v>
      </c>
      <c r="Z287" s="5">
        <v>7</v>
      </c>
      <c r="AA287" s="5">
        <v>6</v>
      </c>
      <c r="AB287" s="5">
        <v>5</v>
      </c>
      <c r="AC287" s="5">
        <v>6</v>
      </c>
      <c r="AD287" s="6">
        <v>5</v>
      </c>
    </row>
    <row r="288" spans="2:30" x14ac:dyDescent="0.25">
      <c r="B288" s="4" t="s">
        <v>46</v>
      </c>
      <c r="C288" s="66" t="s">
        <v>423</v>
      </c>
      <c r="D288" s="13" t="s">
        <v>588</v>
      </c>
      <c r="E288" s="13" t="s">
        <v>161</v>
      </c>
      <c r="F288" s="13" t="s">
        <v>644</v>
      </c>
      <c r="G288" s="13" t="s">
        <v>493</v>
      </c>
      <c r="H288" s="13" t="s">
        <v>166</v>
      </c>
      <c r="I288" s="14" t="s">
        <v>636</v>
      </c>
      <c r="J288" s="13">
        <v>4.3</v>
      </c>
      <c r="K288" s="13">
        <v>5.7</v>
      </c>
      <c r="L288" s="13">
        <v>6</v>
      </c>
      <c r="M288" s="13">
        <v>5.0999999999999996</v>
      </c>
      <c r="N288" s="13">
        <v>6</v>
      </c>
      <c r="O288" s="13">
        <v>6.7</v>
      </c>
      <c r="P288" s="13">
        <v>7.7</v>
      </c>
      <c r="Q288" s="66">
        <v>27.135449891362683</v>
      </c>
      <c r="R288" s="13">
        <v>29.317887448400704</v>
      </c>
      <c r="S288" s="13">
        <v>29.049165616819408</v>
      </c>
      <c r="T288" s="13">
        <v>25.852665675362267</v>
      </c>
      <c r="U288" s="13">
        <v>29.976013008827511</v>
      </c>
      <c r="V288" s="13">
        <v>30.094207122240103</v>
      </c>
      <c r="W288" s="14">
        <v>34.967351915769285</v>
      </c>
      <c r="X288" s="5">
        <v>27</v>
      </c>
      <c r="Y288" s="5">
        <v>23</v>
      </c>
      <c r="Z288" s="5">
        <v>22</v>
      </c>
      <c r="AA288" s="5">
        <v>25</v>
      </c>
      <c r="AB288" s="5">
        <v>22</v>
      </c>
      <c r="AC288" s="5">
        <v>20</v>
      </c>
      <c r="AD288" s="6">
        <v>18</v>
      </c>
    </row>
    <row r="289" spans="2:30" x14ac:dyDescent="0.25">
      <c r="B289" s="4" t="s">
        <v>47</v>
      </c>
      <c r="C289" s="66" t="s">
        <v>159</v>
      </c>
      <c r="D289" s="13" t="s">
        <v>417</v>
      </c>
      <c r="E289" s="13" t="s">
        <v>426</v>
      </c>
      <c r="F289" s="13" t="s">
        <v>426</v>
      </c>
      <c r="G289" s="13" t="s">
        <v>172</v>
      </c>
      <c r="H289" s="13" t="s">
        <v>645</v>
      </c>
      <c r="I289" s="14" t="s">
        <v>646</v>
      </c>
      <c r="J289" s="13">
        <v>6.3</v>
      </c>
      <c r="K289" s="13">
        <v>3.7</v>
      </c>
      <c r="L289" s="13">
        <v>3</v>
      </c>
      <c r="M289" s="13">
        <v>3.1</v>
      </c>
      <c r="N289" s="13">
        <v>3.3</v>
      </c>
      <c r="O289" s="13">
        <v>3.4</v>
      </c>
      <c r="P289" s="13">
        <v>3.6</v>
      </c>
      <c r="Q289" s="66">
        <v>32.813564330758204</v>
      </c>
      <c r="R289" s="13">
        <v>23.810525095145536</v>
      </c>
      <c r="S289" s="13">
        <v>19.244875431932673</v>
      </c>
      <c r="T289" s="13">
        <v>18.578589708822669</v>
      </c>
      <c r="U289" s="13">
        <v>20.315429623169319</v>
      </c>
      <c r="V289" s="13">
        <v>17.104833803701858</v>
      </c>
      <c r="W289" s="14">
        <v>18.261175729228292</v>
      </c>
      <c r="X289" s="5">
        <v>20</v>
      </c>
      <c r="Y289" s="5">
        <v>28</v>
      </c>
      <c r="Z289" s="5">
        <v>28</v>
      </c>
      <c r="AA289" s="5">
        <v>28</v>
      </c>
      <c r="AB289" s="5">
        <v>27</v>
      </c>
      <c r="AC289" s="5">
        <v>27</v>
      </c>
      <c r="AD289" s="6">
        <v>28</v>
      </c>
    </row>
    <row r="290" spans="2:30" x14ac:dyDescent="0.25">
      <c r="B290" s="4" t="s">
        <v>48</v>
      </c>
      <c r="C290" s="66" t="s">
        <v>493</v>
      </c>
      <c r="D290" s="13" t="s">
        <v>647</v>
      </c>
      <c r="E290" s="13" t="s">
        <v>313</v>
      </c>
      <c r="F290" s="13" t="s">
        <v>331</v>
      </c>
      <c r="G290" s="13" t="s">
        <v>162</v>
      </c>
      <c r="H290" s="13" t="s">
        <v>173</v>
      </c>
      <c r="I290" s="14" t="s">
        <v>493</v>
      </c>
      <c r="J290" s="13">
        <v>5.4</v>
      </c>
      <c r="K290" s="13">
        <v>8.1999999999999993</v>
      </c>
      <c r="L290" s="13">
        <v>9.8000000000000007</v>
      </c>
      <c r="M290" s="13">
        <v>8.8000000000000007</v>
      </c>
      <c r="N290" s="13">
        <v>6.3</v>
      </c>
      <c r="O290" s="13">
        <v>5.6</v>
      </c>
      <c r="P290" s="13">
        <v>6.4</v>
      </c>
      <c r="Q290" s="66">
        <v>30.258412833030221</v>
      </c>
      <c r="R290" s="13">
        <v>36.202090389969655</v>
      </c>
      <c r="S290" s="13">
        <v>41.467933184342613</v>
      </c>
      <c r="T290" s="13">
        <v>39.309706213460537</v>
      </c>
      <c r="U290" s="13">
        <v>31.049411162789532</v>
      </c>
      <c r="V290" s="13">
        <v>25.764416016060686</v>
      </c>
      <c r="W290" s="14">
        <v>29.670271661500191</v>
      </c>
      <c r="X290" s="5">
        <v>22</v>
      </c>
      <c r="Y290" s="5">
        <v>17</v>
      </c>
      <c r="Z290" s="5">
        <v>15</v>
      </c>
      <c r="AA290" s="5">
        <v>15</v>
      </c>
      <c r="AB290" s="5">
        <v>21</v>
      </c>
      <c r="AC290" s="5">
        <v>24</v>
      </c>
      <c r="AD290" s="6">
        <v>22</v>
      </c>
    </row>
    <row r="291" spans="2:30" x14ac:dyDescent="0.25">
      <c r="B291" s="4" t="s">
        <v>56</v>
      </c>
      <c r="C291" s="66" t="s">
        <v>475</v>
      </c>
      <c r="D291" s="13" t="s">
        <v>510</v>
      </c>
      <c r="E291" s="13" t="s">
        <v>474</v>
      </c>
      <c r="F291" s="13" t="s">
        <v>474</v>
      </c>
      <c r="G291" s="13" t="s">
        <v>634</v>
      </c>
      <c r="H291" s="13" t="s">
        <v>323</v>
      </c>
      <c r="I291" s="14" t="s">
        <v>456</v>
      </c>
      <c r="J291" s="13">
        <v>5.2</v>
      </c>
      <c r="K291" s="13">
        <v>5.9</v>
      </c>
      <c r="L291" s="13">
        <v>6.6</v>
      </c>
      <c r="M291" s="13">
        <v>6.6</v>
      </c>
      <c r="N291" s="13">
        <v>8.1999999999999993</v>
      </c>
      <c r="O291" s="13">
        <v>9.6</v>
      </c>
      <c r="P291" s="13">
        <v>9.6999999999999993</v>
      </c>
      <c r="Q291" s="66">
        <v>29.690601389090666</v>
      </c>
      <c r="R291" s="13">
        <v>29.86862368372622</v>
      </c>
      <c r="S291" s="13">
        <v>31.010023653796754</v>
      </c>
      <c r="T291" s="13">
        <v>31.30822265026697</v>
      </c>
      <c r="U291" s="13">
        <v>37.847599471215673</v>
      </c>
      <c r="V291" s="13">
        <v>41.509110947622197</v>
      </c>
      <c r="W291" s="14">
        <v>43.116706153106357</v>
      </c>
      <c r="X291" s="5">
        <v>23</v>
      </c>
      <c r="Y291" s="5">
        <v>21</v>
      </c>
      <c r="Z291" s="5">
        <v>20</v>
      </c>
      <c r="AA291" s="5">
        <v>20</v>
      </c>
      <c r="AB291" s="5">
        <v>16</v>
      </c>
      <c r="AC291" s="5">
        <v>14</v>
      </c>
      <c r="AD291" s="6">
        <v>14</v>
      </c>
    </row>
    <row r="292" spans="2:30" x14ac:dyDescent="0.25">
      <c r="B292" s="4" t="s">
        <v>49</v>
      </c>
      <c r="C292" s="66" t="s">
        <v>475</v>
      </c>
      <c r="D292" s="13" t="s">
        <v>641</v>
      </c>
      <c r="E292" s="13" t="s">
        <v>153</v>
      </c>
      <c r="F292" s="13" t="s">
        <v>153</v>
      </c>
      <c r="G292" s="13" t="s">
        <v>153</v>
      </c>
      <c r="H292" s="13" t="s">
        <v>457</v>
      </c>
      <c r="I292" s="14" t="s">
        <v>152</v>
      </c>
      <c r="J292" s="13">
        <v>5.2</v>
      </c>
      <c r="K292" s="13">
        <v>5.5</v>
      </c>
      <c r="L292" s="13">
        <v>5.3</v>
      </c>
      <c r="M292" s="13">
        <v>5.3</v>
      </c>
      <c r="N292" s="13">
        <v>5.2</v>
      </c>
      <c r="O292" s="13">
        <v>5.5</v>
      </c>
      <c r="P292" s="13">
        <v>5.3</v>
      </c>
      <c r="Q292" s="66">
        <v>29.690601389090666</v>
      </c>
      <c r="R292" s="13">
        <v>28.767151213075188</v>
      </c>
      <c r="S292" s="13">
        <v>26.761497907012501</v>
      </c>
      <c r="T292" s="13">
        <v>26.580073272016229</v>
      </c>
      <c r="U292" s="13">
        <v>27.113617931595453</v>
      </c>
      <c r="V292" s="13">
        <v>25.370798642771646</v>
      </c>
      <c r="W292" s="14">
        <v>25.188126830964801</v>
      </c>
      <c r="X292" s="5">
        <v>23</v>
      </c>
      <c r="Y292" s="5">
        <v>24</v>
      </c>
      <c r="Z292" s="5">
        <v>24</v>
      </c>
      <c r="AA292" s="5">
        <v>24</v>
      </c>
      <c r="AB292" s="5">
        <v>24</v>
      </c>
      <c r="AC292" s="5">
        <v>25</v>
      </c>
      <c r="AD292" s="6">
        <v>24</v>
      </c>
    </row>
    <row r="293" spans="2:30" x14ac:dyDescent="0.25">
      <c r="B293" s="4" t="s">
        <v>50</v>
      </c>
      <c r="C293" s="66" t="s">
        <v>648</v>
      </c>
      <c r="D293" s="13" t="s">
        <v>423</v>
      </c>
      <c r="E293" s="13" t="s">
        <v>457</v>
      </c>
      <c r="F293" s="13" t="s">
        <v>649</v>
      </c>
      <c r="G293" s="13" t="s">
        <v>644</v>
      </c>
      <c r="H293" s="13" t="s">
        <v>649</v>
      </c>
      <c r="I293" s="14" t="s">
        <v>174</v>
      </c>
      <c r="J293" s="13">
        <v>4.2</v>
      </c>
      <c r="K293" s="13">
        <v>4.8</v>
      </c>
      <c r="L293" s="13">
        <v>4.8</v>
      </c>
      <c r="M293" s="13">
        <v>4.8</v>
      </c>
      <c r="N293" s="13">
        <v>5</v>
      </c>
      <c r="O293" s="13">
        <v>5.4</v>
      </c>
      <c r="P293" s="13">
        <v>5.0999999999999996</v>
      </c>
      <c r="Q293" s="66">
        <v>26.851544169392909</v>
      </c>
      <c r="R293" s="13">
        <v>26.839574389435882</v>
      </c>
      <c r="S293" s="13">
        <v>25.127449542864714</v>
      </c>
      <c r="T293" s="13">
        <v>24.761554280381333</v>
      </c>
      <c r="U293" s="13">
        <v>26.39801916228744</v>
      </c>
      <c r="V293" s="13">
        <v>24.977181269482614</v>
      </c>
      <c r="W293" s="14">
        <v>24.373191407231094</v>
      </c>
      <c r="X293" s="5">
        <v>28</v>
      </c>
      <c r="Y293" s="5">
        <v>27</v>
      </c>
      <c r="Z293" s="5">
        <v>25</v>
      </c>
      <c r="AA293" s="5">
        <v>26</v>
      </c>
      <c r="AB293" s="5">
        <v>25</v>
      </c>
      <c r="AC293" s="5">
        <v>26</v>
      </c>
      <c r="AD293" s="6">
        <v>25</v>
      </c>
    </row>
    <row r="294" spans="2:30" x14ac:dyDescent="0.25">
      <c r="B294" s="4" t="s">
        <v>51</v>
      </c>
      <c r="C294" s="66" t="s">
        <v>305</v>
      </c>
      <c r="D294" s="13" t="s">
        <v>486</v>
      </c>
      <c r="E294" s="13" t="s">
        <v>281</v>
      </c>
      <c r="F294" s="13" t="s">
        <v>142</v>
      </c>
      <c r="G294" s="13" t="s">
        <v>275</v>
      </c>
      <c r="H294" s="13" t="s">
        <v>528</v>
      </c>
      <c r="I294" s="14" t="s">
        <v>143</v>
      </c>
      <c r="J294" s="13">
        <v>13.2</v>
      </c>
      <c r="K294" s="13">
        <v>14.6</v>
      </c>
      <c r="L294" s="13">
        <v>14.5</v>
      </c>
      <c r="M294" s="13">
        <v>13.8</v>
      </c>
      <c r="N294" s="13">
        <v>12.8</v>
      </c>
      <c r="O294" s="13">
        <v>13</v>
      </c>
      <c r="P294" s="13">
        <v>12.9</v>
      </c>
      <c r="Q294" s="66">
        <v>52.403059146672753</v>
      </c>
      <c r="R294" s="13">
        <v>53.825649920386176</v>
      </c>
      <c r="S294" s="13">
        <v>56.827987807331823</v>
      </c>
      <c r="T294" s="13">
        <v>57.494896129809547</v>
      </c>
      <c r="U294" s="13">
        <v>54.306371165300021</v>
      </c>
      <c r="V294" s="13">
        <v>54.892101639449479</v>
      </c>
      <c r="W294" s="14">
        <v>56.155672932845675</v>
      </c>
      <c r="X294" s="5">
        <v>11</v>
      </c>
      <c r="Y294" s="5">
        <v>10</v>
      </c>
      <c r="Z294" s="5">
        <v>10</v>
      </c>
      <c r="AA294" s="5">
        <v>11</v>
      </c>
      <c r="AB294" s="5">
        <v>11</v>
      </c>
      <c r="AC294" s="5">
        <v>13</v>
      </c>
      <c r="AD294" s="6">
        <v>12</v>
      </c>
    </row>
    <row r="295" spans="2:30" ht="15.75" thickBot="1" x14ac:dyDescent="0.3">
      <c r="B295" s="7" t="s">
        <v>54</v>
      </c>
      <c r="C295" s="67" t="s">
        <v>169</v>
      </c>
      <c r="D295" s="15" t="s">
        <v>144</v>
      </c>
      <c r="E295" s="15" t="s">
        <v>145</v>
      </c>
      <c r="F295" s="15" t="s">
        <v>594</v>
      </c>
      <c r="G295" s="15" t="s">
        <v>164</v>
      </c>
      <c r="H295" s="15" t="s">
        <v>430</v>
      </c>
      <c r="I295" s="16" t="s">
        <v>594</v>
      </c>
      <c r="J295" s="15">
        <v>15.4</v>
      </c>
      <c r="K295" s="15">
        <v>19</v>
      </c>
      <c r="L295" s="15">
        <v>17.7</v>
      </c>
      <c r="M295" s="15">
        <v>16.399999999999999</v>
      </c>
      <c r="N295" s="15">
        <v>17.399999999999999</v>
      </c>
      <c r="O295" s="15">
        <v>15.5</v>
      </c>
      <c r="P295" s="15">
        <v>15.6</v>
      </c>
      <c r="Q295" s="67">
        <v>58.648985030007829</v>
      </c>
      <c r="R295" s="15">
        <v>65.941847097547537</v>
      </c>
      <c r="S295" s="15">
        <v>67.285897337877671</v>
      </c>
      <c r="T295" s="15">
        <v>66.951194886311015</v>
      </c>
      <c r="U295" s="15">
        <v>70.765142859384355</v>
      </c>
      <c r="V295" s="15">
        <v>64.732535971675418</v>
      </c>
      <c r="W295" s="16">
        <v>67.157301153250714</v>
      </c>
      <c r="X295" s="8">
        <v>9</v>
      </c>
      <c r="Y295" s="8">
        <v>7</v>
      </c>
      <c r="Z295" s="8">
        <v>8</v>
      </c>
      <c r="AA295" s="8">
        <v>7</v>
      </c>
      <c r="AB295" s="8">
        <v>6</v>
      </c>
      <c r="AC295" s="8">
        <v>8</v>
      </c>
      <c r="AD295" s="9">
        <v>7</v>
      </c>
    </row>
    <row r="297" spans="2:30" ht="15.75" thickBot="1" x14ac:dyDescent="0.3"/>
    <row r="298" spans="2:30" ht="15.75" thickBot="1" x14ac:dyDescent="0.3">
      <c r="B298" s="68" t="s">
        <v>66</v>
      </c>
      <c r="C298" s="139" t="s">
        <v>68</v>
      </c>
      <c r="D298" s="140"/>
      <c r="E298" s="140"/>
      <c r="F298" s="140"/>
      <c r="G298" s="140"/>
      <c r="H298" s="140"/>
      <c r="I298" s="141"/>
      <c r="J298" s="139"/>
      <c r="K298" s="140"/>
      <c r="L298" s="140"/>
      <c r="M298" s="140"/>
      <c r="N298" s="140"/>
      <c r="O298" s="140"/>
      <c r="P298" s="141"/>
      <c r="Q298" s="139" t="s">
        <v>68</v>
      </c>
      <c r="R298" s="140"/>
      <c r="S298" s="140"/>
      <c r="T298" s="140"/>
      <c r="U298" s="140"/>
      <c r="V298" s="140"/>
      <c r="W298" s="141"/>
      <c r="X298" s="139" t="s">
        <v>69</v>
      </c>
      <c r="Y298" s="140"/>
      <c r="Z298" s="140"/>
      <c r="AA298" s="140"/>
      <c r="AB298" s="140"/>
      <c r="AC298" s="140"/>
      <c r="AD298" s="141"/>
    </row>
    <row r="299" spans="2:30" x14ac:dyDescent="0.25">
      <c r="B299" s="68"/>
      <c r="C299" s="1">
        <v>2009</v>
      </c>
      <c r="D299" s="2">
        <v>2010</v>
      </c>
      <c r="E299" s="2">
        <v>2011</v>
      </c>
      <c r="F299" s="2">
        <v>2012</v>
      </c>
      <c r="G299" s="2">
        <v>2013</v>
      </c>
      <c r="H299" s="2">
        <v>2014</v>
      </c>
      <c r="I299" s="3">
        <v>2015</v>
      </c>
      <c r="J299" s="2">
        <v>2009</v>
      </c>
      <c r="K299" s="2">
        <v>2010</v>
      </c>
      <c r="L299" s="2">
        <v>2011</v>
      </c>
      <c r="M299" s="2">
        <v>2012</v>
      </c>
      <c r="N299" s="2">
        <v>2013</v>
      </c>
      <c r="O299" s="2">
        <v>2014</v>
      </c>
      <c r="P299" s="2">
        <v>2015</v>
      </c>
      <c r="Q299" s="1">
        <v>2009</v>
      </c>
      <c r="R299" s="2">
        <v>2010</v>
      </c>
      <c r="S299" s="2">
        <v>2011</v>
      </c>
      <c r="T299" s="2">
        <v>2012</v>
      </c>
      <c r="U299" s="2">
        <v>2013</v>
      </c>
      <c r="V299" s="2">
        <v>2014</v>
      </c>
      <c r="W299" s="3">
        <v>2015</v>
      </c>
      <c r="X299" s="2">
        <v>2009</v>
      </c>
      <c r="Y299" s="2">
        <v>2010</v>
      </c>
      <c r="Z299" s="2">
        <v>2011</v>
      </c>
      <c r="AA299" s="2">
        <v>2012</v>
      </c>
      <c r="AB299" s="2">
        <v>2013</v>
      </c>
      <c r="AC299" s="2">
        <v>2014</v>
      </c>
      <c r="AD299" s="3">
        <v>2015</v>
      </c>
    </row>
    <row r="300" spans="2:30" x14ac:dyDescent="0.25">
      <c r="B300" s="69" t="s">
        <v>66</v>
      </c>
      <c r="C300" s="64">
        <v>2008</v>
      </c>
      <c r="D300" s="63">
        <v>2009</v>
      </c>
      <c r="E300" s="63">
        <v>2010</v>
      </c>
      <c r="F300" s="63">
        <v>2011</v>
      </c>
      <c r="G300" s="63">
        <v>2012</v>
      </c>
      <c r="H300" s="63">
        <v>2013</v>
      </c>
      <c r="I300" s="65">
        <v>2014</v>
      </c>
      <c r="J300" s="63">
        <v>2008</v>
      </c>
      <c r="K300" s="63">
        <v>2009</v>
      </c>
      <c r="L300" s="63">
        <v>2010</v>
      </c>
      <c r="M300" s="63">
        <v>2011</v>
      </c>
      <c r="N300" s="63">
        <v>2012</v>
      </c>
      <c r="O300" s="63">
        <v>2013</v>
      </c>
      <c r="P300" s="63">
        <v>2014</v>
      </c>
      <c r="Q300" s="64">
        <v>2008</v>
      </c>
      <c r="R300" s="63">
        <v>2009</v>
      </c>
      <c r="S300" s="63">
        <v>2010</v>
      </c>
      <c r="T300" s="63">
        <v>2011</v>
      </c>
      <c r="U300" s="63">
        <v>2012</v>
      </c>
      <c r="V300" s="63">
        <v>2013</v>
      </c>
      <c r="W300" s="65">
        <v>2014</v>
      </c>
      <c r="X300" s="63">
        <v>2008</v>
      </c>
      <c r="Y300" s="63">
        <v>2009</v>
      </c>
      <c r="Z300" s="63">
        <v>2010</v>
      </c>
      <c r="AA300" s="63">
        <v>2011</v>
      </c>
      <c r="AB300" s="63">
        <v>2012</v>
      </c>
      <c r="AC300" s="63">
        <v>2013</v>
      </c>
      <c r="AD300" s="65">
        <v>2014</v>
      </c>
    </row>
    <row r="301" spans="2:30" x14ac:dyDescent="0.25">
      <c r="B301" s="4" t="s">
        <v>27</v>
      </c>
      <c r="C301" s="66" t="s">
        <v>252</v>
      </c>
      <c r="D301" s="13" t="s">
        <v>214</v>
      </c>
      <c r="E301" s="13" t="s">
        <v>117</v>
      </c>
      <c r="F301" s="13" t="s">
        <v>213</v>
      </c>
      <c r="G301" s="13" t="s">
        <v>141</v>
      </c>
      <c r="H301" s="13" t="s">
        <v>117</v>
      </c>
      <c r="I301" s="14" t="s">
        <v>179</v>
      </c>
      <c r="J301" s="13">
        <v>51</v>
      </c>
      <c r="K301" s="13">
        <v>49</v>
      </c>
      <c r="L301" s="13">
        <v>51</v>
      </c>
      <c r="M301" s="13">
        <v>51</v>
      </c>
      <c r="N301" s="13">
        <v>53</v>
      </c>
      <c r="O301" s="13">
        <v>54</v>
      </c>
      <c r="P301" s="13">
        <v>59</v>
      </c>
      <c r="Q301" s="66">
        <v>78.225283930167905</v>
      </c>
      <c r="R301" s="13">
        <v>67.175895553192575</v>
      </c>
      <c r="S301" s="13">
        <v>64.308180887560994</v>
      </c>
      <c r="T301" s="13">
        <v>62.237588588316974</v>
      </c>
      <c r="U301" s="13">
        <v>61.218014570110689</v>
      </c>
      <c r="V301" s="13">
        <v>64.490593068458764</v>
      </c>
      <c r="W301" s="14">
        <v>63.087036371333461</v>
      </c>
      <c r="X301" s="5">
        <v>5</v>
      </c>
      <c r="Y301" s="5">
        <v>6</v>
      </c>
      <c r="Z301" s="5">
        <v>7</v>
      </c>
      <c r="AA301" s="5">
        <v>8</v>
      </c>
      <c r="AB301" s="5">
        <v>8</v>
      </c>
      <c r="AC301" s="5">
        <v>7</v>
      </c>
      <c r="AD301" s="6">
        <v>7</v>
      </c>
    </row>
    <row r="302" spans="2:30" x14ac:dyDescent="0.25">
      <c r="B302" s="4" t="s">
        <v>28</v>
      </c>
      <c r="C302" s="66" t="s">
        <v>168</v>
      </c>
      <c r="D302" s="13" t="s">
        <v>262</v>
      </c>
      <c r="E302" s="13" t="s">
        <v>143</v>
      </c>
      <c r="F302" s="13" t="s">
        <v>262</v>
      </c>
      <c r="G302" s="13" t="s">
        <v>201</v>
      </c>
      <c r="H302" s="13" t="s">
        <v>169</v>
      </c>
      <c r="I302" s="14" t="s">
        <v>211</v>
      </c>
      <c r="J302" s="13">
        <v>26</v>
      </c>
      <c r="K302" s="13">
        <v>41</v>
      </c>
      <c r="L302" s="13">
        <v>45</v>
      </c>
      <c r="M302" s="13">
        <v>47</v>
      </c>
      <c r="N302" s="13">
        <v>50</v>
      </c>
      <c r="O302" s="13">
        <v>50</v>
      </c>
      <c r="P302" s="13">
        <v>55</v>
      </c>
      <c r="Q302" s="66">
        <v>39.621212883345578</v>
      </c>
      <c r="R302" s="13">
        <v>55.759276550477033</v>
      </c>
      <c r="S302" s="13">
        <v>55.873884785419776</v>
      </c>
      <c r="T302" s="13">
        <v>56.278415014875662</v>
      </c>
      <c r="U302" s="13">
        <v>56.410294040063249</v>
      </c>
      <c r="V302" s="13">
        <v>59.0987444848462</v>
      </c>
      <c r="W302" s="14">
        <v>57.471143369075421</v>
      </c>
      <c r="X302" s="5">
        <v>16</v>
      </c>
      <c r="Y302" s="5">
        <v>11</v>
      </c>
      <c r="Z302" s="5">
        <v>12</v>
      </c>
      <c r="AA302" s="5">
        <v>11</v>
      </c>
      <c r="AB302" s="5">
        <v>10</v>
      </c>
      <c r="AC302" s="5">
        <v>9</v>
      </c>
      <c r="AD302" s="6">
        <v>9</v>
      </c>
    </row>
    <row r="303" spans="2:30" x14ac:dyDescent="0.25">
      <c r="B303" s="4" t="s">
        <v>29</v>
      </c>
      <c r="C303" s="66" t="s">
        <v>251</v>
      </c>
      <c r="D303" s="13" t="s">
        <v>233</v>
      </c>
      <c r="E303" s="13" t="s">
        <v>195</v>
      </c>
      <c r="F303" s="13" t="s">
        <v>174</v>
      </c>
      <c r="G303" s="13" t="s">
        <v>240</v>
      </c>
      <c r="H303" s="13" t="s">
        <v>180</v>
      </c>
      <c r="I303" s="14" t="s">
        <v>258</v>
      </c>
      <c r="J303" s="13">
        <v>10</v>
      </c>
      <c r="K303" s="13">
        <v>11</v>
      </c>
      <c r="L303" s="13">
        <v>24</v>
      </c>
      <c r="M303" s="13">
        <v>25</v>
      </c>
      <c r="N303" s="13">
        <v>27</v>
      </c>
      <c r="O303" s="13">
        <v>23</v>
      </c>
      <c r="P303" s="13">
        <v>21</v>
      </c>
      <c r="Q303" s="66">
        <v>14.914607413379287</v>
      </c>
      <c r="R303" s="13">
        <v>12.946955290293758</v>
      </c>
      <c r="S303" s="13">
        <v>26.353848427925534</v>
      </c>
      <c r="T303" s="13">
        <v>23.502960360948471</v>
      </c>
      <c r="U303" s="13">
        <v>19.551103309699556</v>
      </c>
      <c r="V303" s="13">
        <v>22.703766545461395</v>
      </c>
      <c r="W303" s="14">
        <v>9.7360528498820926</v>
      </c>
      <c r="X303" s="5">
        <v>27</v>
      </c>
      <c r="Y303" s="5">
        <v>27</v>
      </c>
      <c r="Z303" s="5">
        <v>22</v>
      </c>
      <c r="AA303" s="5">
        <v>25</v>
      </c>
      <c r="AB303" s="5">
        <v>26</v>
      </c>
      <c r="AC303" s="5">
        <v>25</v>
      </c>
      <c r="AD303" s="6">
        <v>27</v>
      </c>
    </row>
    <row r="304" spans="2:30" x14ac:dyDescent="0.25">
      <c r="B304" s="4" t="s">
        <v>30</v>
      </c>
      <c r="C304" s="66" t="s">
        <v>174</v>
      </c>
      <c r="D304" s="13" t="s">
        <v>207</v>
      </c>
      <c r="E304" s="13" t="s">
        <v>151</v>
      </c>
      <c r="F304" s="13" t="s">
        <v>248</v>
      </c>
      <c r="G304" s="13" t="s">
        <v>183</v>
      </c>
      <c r="H304" s="13" t="s">
        <v>152</v>
      </c>
      <c r="I304" s="14" t="s">
        <v>152</v>
      </c>
      <c r="J304" s="13">
        <v>16</v>
      </c>
      <c r="K304" s="13">
        <v>17</v>
      </c>
      <c r="L304" s="13">
        <v>19</v>
      </c>
      <c r="M304" s="13">
        <v>17</v>
      </c>
      <c r="N304" s="13">
        <v>26</v>
      </c>
      <c r="O304" s="13">
        <v>25</v>
      </c>
      <c r="P304" s="13">
        <v>32</v>
      </c>
      <c r="Q304" s="66">
        <v>24.179584464616642</v>
      </c>
      <c r="R304" s="13">
        <v>21.509419542330416</v>
      </c>
      <c r="S304" s="13">
        <v>19.325268342807856</v>
      </c>
      <c r="T304" s="13">
        <v>11.584613214065861</v>
      </c>
      <c r="U304" s="13">
        <v>17.94852979968374</v>
      </c>
      <c r="V304" s="13">
        <v>25.399690837267681</v>
      </c>
      <c r="W304" s="14">
        <v>25.179758606091703</v>
      </c>
      <c r="X304" s="5">
        <v>25</v>
      </c>
      <c r="Y304" s="5">
        <v>25</v>
      </c>
      <c r="Z304" s="5">
        <v>26</v>
      </c>
      <c r="AA304" s="5">
        <v>27</v>
      </c>
      <c r="AB304" s="5">
        <v>27</v>
      </c>
      <c r="AC304" s="5">
        <v>24</v>
      </c>
      <c r="AD304" s="6">
        <v>24</v>
      </c>
    </row>
    <row r="305" spans="2:30" x14ac:dyDescent="0.25">
      <c r="B305" s="4" t="s">
        <v>31</v>
      </c>
      <c r="C305" s="66" t="s">
        <v>153</v>
      </c>
      <c r="D305" s="13" t="s">
        <v>162</v>
      </c>
      <c r="E305" s="13" t="s">
        <v>194</v>
      </c>
      <c r="F305" s="13" t="s">
        <v>203</v>
      </c>
      <c r="G305" s="13" t="s">
        <v>196</v>
      </c>
      <c r="H305" s="13" t="s">
        <v>226</v>
      </c>
      <c r="I305" s="14" t="s">
        <v>245</v>
      </c>
      <c r="J305" s="13">
        <v>18</v>
      </c>
      <c r="K305" s="13">
        <v>24</v>
      </c>
      <c r="L305" s="13">
        <v>25</v>
      </c>
      <c r="M305" s="13">
        <v>29</v>
      </c>
      <c r="N305" s="13">
        <v>30</v>
      </c>
      <c r="O305" s="13">
        <v>30</v>
      </c>
      <c r="P305" s="13">
        <v>41</v>
      </c>
      <c r="Q305" s="66">
        <v>27.267910148362432</v>
      </c>
      <c r="R305" s="13">
        <v>31.498961169706511</v>
      </c>
      <c r="S305" s="13">
        <v>27.759564444949067</v>
      </c>
      <c r="T305" s="13">
        <v>29.462133934389779</v>
      </c>
      <c r="U305" s="13">
        <v>24.358823839746996</v>
      </c>
      <c r="V305" s="13">
        <v>32.13950156678338</v>
      </c>
      <c r="W305" s="14">
        <v>37.815517861172289</v>
      </c>
      <c r="X305" s="5">
        <v>24</v>
      </c>
      <c r="Y305" s="5">
        <v>21</v>
      </c>
      <c r="Z305" s="5">
        <v>21</v>
      </c>
      <c r="AA305" s="5">
        <v>21</v>
      </c>
      <c r="AB305" s="5">
        <v>24</v>
      </c>
      <c r="AC305" s="5">
        <v>22</v>
      </c>
      <c r="AD305" s="6">
        <v>19</v>
      </c>
    </row>
    <row r="306" spans="2:30" x14ac:dyDescent="0.25">
      <c r="B306" s="4" t="s">
        <v>32</v>
      </c>
      <c r="C306" s="66" t="s">
        <v>161</v>
      </c>
      <c r="D306" s="13" t="s">
        <v>181</v>
      </c>
      <c r="E306" s="13" t="s">
        <v>152</v>
      </c>
      <c r="F306" s="13" t="s">
        <v>202</v>
      </c>
      <c r="G306" s="13" t="s">
        <v>196</v>
      </c>
      <c r="H306" s="13" t="s">
        <v>230</v>
      </c>
      <c r="I306" s="14" t="s">
        <v>227</v>
      </c>
      <c r="J306" s="13">
        <v>19</v>
      </c>
      <c r="K306" s="13">
        <v>26</v>
      </c>
      <c r="L306" s="13">
        <v>23</v>
      </c>
      <c r="M306" s="13">
        <v>42</v>
      </c>
      <c r="N306" s="13">
        <v>30</v>
      </c>
      <c r="O306" s="13">
        <v>29</v>
      </c>
      <c r="P306" s="13">
        <v>37</v>
      </c>
      <c r="Q306" s="66">
        <v>28.812072990235325</v>
      </c>
      <c r="R306" s="13">
        <v>34.353115920385399</v>
      </c>
      <c r="S306" s="13">
        <v>24.948132410901998</v>
      </c>
      <c r="T306" s="13">
        <v>48.829448048074028</v>
      </c>
      <c r="U306" s="13">
        <v>24.358823839746996</v>
      </c>
      <c r="V306" s="13">
        <v>30.791539420880241</v>
      </c>
      <c r="W306" s="14">
        <v>32.199624858914248</v>
      </c>
      <c r="X306" s="5">
        <v>22</v>
      </c>
      <c r="Y306" s="5">
        <v>19</v>
      </c>
      <c r="Z306" s="5">
        <v>24</v>
      </c>
      <c r="AA306" s="5">
        <v>14</v>
      </c>
      <c r="AB306" s="5">
        <v>24</v>
      </c>
      <c r="AC306" s="5">
        <v>23</v>
      </c>
      <c r="AD306" s="6">
        <v>23</v>
      </c>
    </row>
    <row r="307" spans="2:30" x14ac:dyDescent="0.25">
      <c r="B307" s="4" t="s">
        <v>33</v>
      </c>
      <c r="C307" s="66" t="s">
        <v>229</v>
      </c>
      <c r="D307" s="13" t="s">
        <v>147</v>
      </c>
      <c r="E307" s="13" t="s">
        <v>147</v>
      </c>
      <c r="F307" s="13" t="s">
        <v>147</v>
      </c>
      <c r="G307" s="13" t="s">
        <v>147</v>
      </c>
      <c r="H307" s="13" t="s">
        <v>147</v>
      </c>
      <c r="I307" s="14" t="s">
        <v>253</v>
      </c>
      <c r="J307" s="13">
        <v>49</v>
      </c>
      <c r="K307" s="13">
        <v>73</v>
      </c>
      <c r="L307" s="13">
        <v>78</v>
      </c>
      <c r="M307" s="13">
        <v>81</v>
      </c>
      <c r="N307" s="13">
        <v>83</v>
      </c>
      <c r="O307" s="13">
        <v>85</v>
      </c>
      <c r="P307" s="13">
        <v>84</v>
      </c>
      <c r="Q307" s="66">
        <v>75.136958246422125</v>
      </c>
      <c r="R307" s="13">
        <v>100</v>
      </c>
      <c r="S307" s="13">
        <v>100</v>
      </c>
      <c r="T307" s="13">
        <v>100</v>
      </c>
      <c r="U307" s="13">
        <v>100</v>
      </c>
      <c r="V307" s="13">
        <v>100</v>
      </c>
      <c r="W307" s="14">
        <v>98.186367635446203</v>
      </c>
      <c r="X307" s="5">
        <v>6</v>
      </c>
      <c r="Y307" s="5">
        <v>1</v>
      </c>
      <c r="Z307" s="5">
        <v>1</v>
      </c>
      <c r="AA307" s="5">
        <v>1</v>
      </c>
      <c r="AB307" s="5">
        <v>1</v>
      </c>
      <c r="AC307" s="5">
        <v>1</v>
      </c>
      <c r="AD307" s="6">
        <v>1</v>
      </c>
    </row>
    <row r="308" spans="2:30" x14ac:dyDescent="0.25">
      <c r="B308" s="4" t="s">
        <v>34</v>
      </c>
      <c r="C308" s="66" t="s">
        <v>142</v>
      </c>
      <c r="D308" s="13" t="s">
        <v>154</v>
      </c>
      <c r="E308" s="13" t="s">
        <v>216</v>
      </c>
      <c r="F308" s="13" t="s">
        <v>178</v>
      </c>
      <c r="G308" s="13" t="s">
        <v>179</v>
      </c>
      <c r="H308" s="13" t="s">
        <v>262</v>
      </c>
      <c r="I308" s="14" t="s">
        <v>206</v>
      </c>
      <c r="J308" s="13">
        <v>37</v>
      </c>
      <c r="K308" s="13">
        <v>46</v>
      </c>
      <c r="L308" s="13">
        <v>50</v>
      </c>
      <c r="M308" s="13">
        <v>53</v>
      </c>
      <c r="N308" s="13">
        <v>54</v>
      </c>
      <c r="O308" s="13">
        <v>48</v>
      </c>
      <c r="P308" s="13">
        <v>51</v>
      </c>
      <c r="Q308" s="66">
        <v>56.6070041439474</v>
      </c>
      <c r="R308" s="13">
        <v>62.894663427174251</v>
      </c>
      <c r="S308" s="13">
        <v>62.90246487053745</v>
      </c>
      <c r="T308" s="13">
        <v>65.217175375037627</v>
      </c>
      <c r="U308" s="13">
        <v>62.820588080126498</v>
      </c>
      <c r="V308" s="13">
        <v>56.402820193039922</v>
      </c>
      <c r="W308" s="14">
        <v>51.855250366817387</v>
      </c>
      <c r="X308" s="5">
        <v>11</v>
      </c>
      <c r="Y308" s="5">
        <v>10</v>
      </c>
      <c r="Z308" s="5">
        <v>8</v>
      </c>
      <c r="AA308" s="5">
        <v>7</v>
      </c>
      <c r="AB308" s="5">
        <v>7</v>
      </c>
      <c r="AC308" s="5">
        <v>11</v>
      </c>
      <c r="AD308" s="6">
        <v>13</v>
      </c>
    </row>
    <row r="309" spans="2:30" x14ac:dyDescent="0.25">
      <c r="B309" s="4" t="s">
        <v>35</v>
      </c>
      <c r="C309" s="66" t="s">
        <v>266</v>
      </c>
      <c r="D309" s="13" t="s">
        <v>257</v>
      </c>
      <c r="E309" s="13" t="s">
        <v>146</v>
      </c>
      <c r="F309" s="13" t="s">
        <v>186</v>
      </c>
      <c r="G309" s="13" t="s">
        <v>186</v>
      </c>
      <c r="H309" s="13" t="s">
        <v>193</v>
      </c>
      <c r="I309" s="14" t="s">
        <v>267</v>
      </c>
      <c r="J309" s="13">
        <v>62</v>
      </c>
      <c r="K309" s="13">
        <v>64</v>
      </c>
      <c r="L309" s="13">
        <v>68</v>
      </c>
      <c r="M309" s="13">
        <v>68</v>
      </c>
      <c r="N309" s="13">
        <v>70</v>
      </c>
      <c r="O309" s="13">
        <v>69</v>
      </c>
      <c r="P309" s="13">
        <v>80</v>
      </c>
      <c r="Q309" s="66">
        <v>95.211075190769719</v>
      </c>
      <c r="R309" s="13">
        <v>88.582056183284209</v>
      </c>
      <c r="S309" s="13">
        <v>88.205353176961097</v>
      </c>
      <c r="T309" s="13">
        <v>87.564076275442531</v>
      </c>
      <c r="U309" s="13">
        <v>88.461764240379509</v>
      </c>
      <c r="V309" s="13">
        <v>84.710025257005867</v>
      </c>
      <c r="W309" s="14">
        <v>92.570474633188155</v>
      </c>
      <c r="X309" s="5">
        <v>1</v>
      </c>
      <c r="Y309" s="5">
        <v>4</v>
      </c>
      <c r="Z309" s="5">
        <v>2</v>
      </c>
      <c r="AA309" s="5">
        <v>3</v>
      </c>
      <c r="AB309" s="5">
        <v>3</v>
      </c>
      <c r="AC309" s="5">
        <v>4</v>
      </c>
      <c r="AD309" s="6">
        <v>3</v>
      </c>
    </row>
    <row r="310" spans="2:30" x14ac:dyDescent="0.25">
      <c r="B310" s="4" t="s">
        <v>36</v>
      </c>
      <c r="C310" s="66" t="s">
        <v>241</v>
      </c>
      <c r="D310" s="13" t="s">
        <v>249</v>
      </c>
      <c r="E310" s="13" t="s">
        <v>157</v>
      </c>
      <c r="F310" s="13" t="s">
        <v>164</v>
      </c>
      <c r="G310" s="13" t="s">
        <v>247</v>
      </c>
      <c r="H310" s="13" t="s">
        <v>167</v>
      </c>
      <c r="I310" s="14" t="s">
        <v>155</v>
      </c>
      <c r="J310" s="13">
        <v>48</v>
      </c>
      <c r="K310" s="13">
        <v>47</v>
      </c>
      <c r="L310" s="13">
        <v>57</v>
      </c>
      <c r="M310" s="13">
        <v>57</v>
      </c>
      <c r="N310" s="13">
        <v>61</v>
      </c>
      <c r="O310" s="13">
        <v>60</v>
      </c>
      <c r="P310" s="13">
        <v>64</v>
      </c>
      <c r="Q310" s="66">
        <v>73.592795404549221</v>
      </c>
      <c r="R310" s="13">
        <v>64.321740802513688</v>
      </c>
      <c r="S310" s="13">
        <v>72.742476989702197</v>
      </c>
      <c r="T310" s="13">
        <v>71.176348948478932</v>
      </c>
      <c r="U310" s="13">
        <v>74.038602650237195</v>
      </c>
      <c r="V310" s="13">
        <v>72.578365943877614</v>
      </c>
      <c r="W310" s="14">
        <v>70.106902624156007</v>
      </c>
      <c r="X310" s="5">
        <v>7</v>
      </c>
      <c r="Y310" s="5">
        <v>9</v>
      </c>
      <c r="Z310" s="5">
        <v>6</v>
      </c>
      <c r="AA310" s="5">
        <v>6</v>
      </c>
      <c r="AB310" s="5">
        <v>5</v>
      </c>
      <c r="AC310" s="5">
        <v>5</v>
      </c>
      <c r="AD310" s="6">
        <v>6</v>
      </c>
    </row>
    <row r="311" spans="2:30" x14ac:dyDescent="0.25">
      <c r="B311" s="4" t="s">
        <v>37</v>
      </c>
      <c r="C311" s="66" t="s">
        <v>145</v>
      </c>
      <c r="D311" s="13" t="s">
        <v>144</v>
      </c>
      <c r="E311" s="13" t="s">
        <v>216</v>
      </c>
      <c r="F311" s="13" t="s">
        <v>116</v>
      </c>
      <c r="G311" s="13" t="s">
        <v>268</v>
      </c>
      <c r="H311" s="13" t="s">
        <v>215</v>
      </c>
      <c r="I311" s="14" t="s">
        <v>160</v>
      </c>
      <c r="J311" s="13">
        <v>44</v>
      </c>
      <c r="K311" s="13">
        <v>48</v>
      </c>
      <c r="L311" s="13">
        <v>50</v>
      </c>
      <c r="M311" s="13">
        <v>50</v>
      </c>
      <c r="N311" s="13">
        <v>51</v>
      </c>
      <c r="O311" s="13">
        <v>49</v>
      </c>
      <c r="P311" s="13">
        <v>53</v>
      </c>
      <c r="Q311" s="66">
        <v>67.416144037057649</v>
      </c>
      <c r="R311" s="13">
        <v>65.748818177853138</v>
      </c>
      <c r="S311" s="13">
        <v>62.90246487053745</v>
      </c>
      <c r="T311" s="13">
        <v>60.747795194956645</v>
      </c>
      <c r="U311" s="13">
        <v>58.012867550079065</v>
      </c>
      <c r="V311" s="13">
        <v>57.750782338943061</v>
      </c>
      <c r="W311" s="14">
        <v>54.663196867946404</v>
      </c>
      <c r="X311" s="5">
        <v>8</v>
      </c>
      <c r="Y311" s="5">
        <v>7</v>
      </c>
      <c r="Z311" s="5">
        <v>8</v>
      </c>
      <c r="AA311" s="5">
        <v>9</v>
      </c>
      <c r="AB311" s="5">
        <v>9</v>
      </c>
      <c r="AC311" s="5">
        <v>10</v>
      </c>
      <c r="AD311" s="6">
        <v>11</v>
      </c>
    </row>
    <row r="312" spans="2:30" x14ac:dyDescent="0.25">
      <c r="B312" s="4" t="s">
        <v>38</v>
      </c>
      <c r="C312" s="66" t="s">
        <v>240</v>
      </c>
      <c r="D312" s="13" t="s">
        <v>250</v>
      </c>
      <c r="E312" s="13" t="s">
        <v>251</v>
      </c>
      <c r="F312" s="13" t="s">
        <v>173</v>
      </c>
      <c r="G312" s="13" t="s">
        <v>162</v>
      </c>
      <c r="H312" s="13" t="s">
        <v>122</v>
      </c>
      <c r="I312" s="14" t="s">
        <v>239</v>
      </c>
      <c r="J312" s="13">
        <v>13</v>
      </c>
      <c r="K312" s="13">
        <v>14</v>
      </c>
      <c r="L312" s="13">
        <v>16</v>
      </c>
      <c r="M312" s="13">
        <v>27</v>
      </c>
      <c r="N312" s="13">
        <v>34</v>
      </c>
      <c r="O312" s="13">
        <v>36</v>
      </c>
      <c r="P312" s="13">
        <v>45</v>
      </c>
      <c r="Q312" s="66">
        <v>19.547095938997966</v>
      </c>
      <c r="R312" s="13">
        <v>17.228187416312082</v>
      </c>
      <c r="S312" s="13">
        <v>15.108120291737251</v>
      </c>
      <c r="T312" s="13">
        <v>26.482547147669127</v>
      </c>
      <c r="U312" s="13">
        <v>30.769117879810246</v>
      </c>
      <c r="V312" s="13">
        <v>40.22727444220223</v>
      </c>
      <c r="W312" s="14">
        <v>43.43141086343033</v>
      </c>
      <c r="X312" s="5">
        <v>26</v>
      </c>
      <c r="Y312" s="5">
        <v>26</v>
      </c>
      <c r="Z312" s="5">
        <v>27</v>
      </c>
      <c r="AA312" s="5">
        <v>24</v>
      </c>
      <c r="AB312" s="5">
        <v>21</v>
      </c>
      <c r="AC312" s="5">
        <v>17</v>
      </c>
      <c r="AD312" s="6">
        <v>18</v>
      </c>
    </row>
    <row r="313" spans="2:30" x14ac:dyDescent="0.25">
      <c r="B313" s="4" t="s">
        <v>39</v>
      </c>
      <c r="C313" s="66" t="s">
        <v>218</v>
      </c>
      <c r="D313" s="13" t="s">
        <v>189</v>
      </c>
      <c r="E313" s="13" t="s">
        <v>238</v>
      </c>
      <c r="F313" s="13" t="s">
        <v>220</v>
      </c>
      <c r="G313" s="13" t="s">
        <v>184</v>
      </c>
      <c r="H313" s="13" t="s">
        <v>222</v>
      </c>
      <c r="I313" s="14" t="s">
        <v>244</v>
      </c>
      <c r="J313" s="13">
        <v>29</v>
      </c>
      <c r="K313" s="13">
        <v>31</v>
      </c>
      <c r="L313" s="13">
        <v>35</v>
      </c>
      <c r="M313" s="13">
        <v>38</v>
      </c>
      <c r="N313" s="13">
        <v>42</v>
      </c>
      <c r="O313" s="13">
        <v>37</v>
      </c>
      <c r="P313" s="13">
        <v>49</v>
      </c>
      <c r="Q313" s="66">
        <v>44.253701408964254</v>
      </c>
      <c r="R313" s="13">
        <v>41.48850279708261</v>
      </c>
      <c r="S313" s="13">
        <v>41.81672461518442</v>
      </c>
      <c r="T313" s="13">
        <v>42.870274474632723</v>
      </c>
      <c r="U313" s="13">
        <v>43.589705959936751</v>
      </c>
      <c r="V313" s="13">
        <v>41.575236588105369</v>
      </c>
      <c r="W313" s="14">
        <v>49.047303865688363</v>
      </c>
      <c r="X313" s="5">
        <v>15</v>
      </c>
      <c r="Y313" s="5">
        <v>17</v>
      </c>
      <c r="Z313" s="5">
        <v>18</v>
      </c>
      <c r="AA313" s="5">
        <v>17</v>
      </c>
      <c r="AB313" s="5">
        <v>16</v>
      </c>
      <c r="AC313" s="5">
        <v>16</v>
      </c>
      <c r="AD313" s="6">
        <v>16</v>
      </c>
    </row>
    <row r="314" spans="2:30" x14ac:dyDescent="0.25">
      <c r="B314" s="4" t="s">
        <v>40</v>
      </c>
      <c r="C314" s="66" t="s">
        <v>206</v>
      </c>
      <c r="D314" s="13" t="s">
        <v>156</v>
      </c>
      <c r="E314" s="13" t="s">
        <v>185</v>
      </c>
      <c r="F314" s="13" t="s">
        <v>206</v>
      </c>
      <c r="G314" s="13" t="s">
        <v>160</v>
      </c>
      <c r="H314" s="13" t="s">
        <v>158</v>
      </c>
      <c r="I314" s="14" t="s">
        <v>206</v>
      </c>
      <c r="J314" s="13">
        <v>34</v>
      </c>
      <c r="K314" s="13">
        <v>37</v>
      </c>
      <c r="L314" s="13">
        <v>37</v>
      </c>
      <c r="M314" s="13">
        <v>44</v>
      </c>
      <c r="N314" s="13">
        <v>49</v>
      </c>
      <c r="O314" s="13">
        <v>45</v>
      </c>
      <c r="P314" s="13">
        <v>51</v>
      </c>
      <c r="Q314" s="66">
        <v>51.974515618328724</v>
      </c>
      <c r="R314" s="13">
        <v>50.050967049119265</v>
      </c>
      <c r="S314" s="13">
        <v>44.628156649231492</v>
      </c>
      <c r="T314" s="13">
        <v>51.809034834794687</v>
      </c>
      <c r="U314" s="13">
        <v>54.80772053004744</v>
      </c>
      <c r="V314" s="13">
        <v>52.358933755330497</v>
      </c>
      <c r="W314" s="14">
        <v>51.855250366817387</v>
      </c>
      <c r="X314" s="5">
        <v>13</v>
      </c>
      <c r="Y314" s="5">
        <v>13</v>
      </c>
      <c r="Z314" s="5">
        <v>16</v>
      </c>
      <c r="AA314" s="5">
        <v>13</v>
      </c>
      <c r="AB314" s="5">
        <v>11</v>
      </c>
      <c r="AC314" s="5">
        <v>12</v>
      </c>
      <c r="AD314" s="6">
        <v>13</v>
      </c>
    </row>
    <row r="315" spans="2:30" x14ac:dyDescent="0.25">
      <c r="B315" s="4" t="s">
        <v>41</v>
      </c>
      <c r="C315" s="66" t="s">
        <v>166</v>
      </c>
      <c r="D315" s="13" t="s">
        <v>171</v>
      </c>
      <c r="E315" s="13" t="s">
        <v>152</v>
      </c>
      <c r="F315" s="13" t="s">
        <v>151</v>
      </c>
      <c r="G315" s="13" t="s">
        <v>264</v>
      </c>
      <c r="H315" s="13" t="s">
        <v>172</v>
      </c>
      <c r="I315" s="14" t="s">
        <v>243</v>
      </c>
      <c r="J315" s="13">
        <v>20</v>
      </c>
      <c r="K315" s="13">
        <v>21</v>
      </c>
      <c r="L315" s="13">
        <v>23</v>
      </c>
      <c r="M315" s="13">
        <v>22</v>
      </c>
      <c r="N315" s="13">
        <v>19</v>
      </c>
      <c r="O315" s="13">
        <v>21</v>
      </c>
      <c r="P315" s="13">
        <v>23</v>
      </c>
      <c r="Q315" s="66">
        <v>30.356235832108215</v>
      </c>
      <c r="R315" s="13">
        <v>27.217729043688184</v>
      </c>
      <c r="S315" s="13">
        <v>24.948132410901998</v>
      </c>
      <c r="T315" s="13">
        <v>19.033580180867492</v>
      </c>
      <c r="U315" s="13">
        <v>6.7305152295730508</v>
      </c>
      <c r="V315" s="13">
        <v>20.007842253655117</v>
      </c>
      <c r="W315" s="14">
        <v>12.543999351011117</v>
      </c>
      <c r="X315" s="5">
        <v>20</v>
      </c>
      <c r="Y315" s="5">
        <v>23</v>
      </c>
      <c r="Z315" s="5">
        <v>24</v>
      </c>
      <c r="AA315" s="5">
        <v>26</v>
      </c>
      <c r="AB315" s="5">
        <v>28</v>
      </c>
      <c r="AC315" s="5">
        <v>27</v>
      </c>
      <c r="AD315" s="6">
        <v>26</v>
      </c>
    </row>
    <row r="316" spans="2:30" x14ac:dyDescent="0.25">
      <c r="B316" s="4" t="s">
        <v>42</v>
      </c>
      <c r="C316" s="66" t="s">
        <v>166</v>
      </c>
      <c r="D316" s="13" t="s">
        <v>197</v>
      </c>
      <c r="E316" s="13" t="s">
        <v>202</v>
      </c>
      <c r="F316" s="13" t="s">
        <v>235</v>
      </c>
      <c r="G316" s="13" t="s">
        <v>206</v>
      </c>
      <c r="H316" s="13" t="s">
        <v>198</v>
      </c>
      <c r="I316" s="14" t="s">
        <v>201</v>
      </c>
      <c r="J316" s="13">
        <v>20</v>
      </c>
      <c r="K316" s="13">
        <v>30</v>
      </c>
      <c r="L316" s="13">
        <v>40</v>
      </c>
      <c r="M316" s="13">
        <v>41</v>
      </c>
      <c r="N316" s="13">
        <v>47</v>
      </c>
      <c r="O316" s="13">
        <v>35</v>
      </c>
      <c r="P316" s="13">
        <v>54</v>
      </c>
      <c r="Q316" s="66">
        <v>30.356235832108215</v>
      </c>
      <c r="R316" s="13">
        <v>40.061425421743166</v>
      </c>
      <c r="S316" s="13">
        <v>48.845304700302101</v>
      </c>
      <c r="T316" s="13">
        <v>47.339654654713705</v>
      </c>
      <c r="U316" s="13">
        <v>51.602573510015816</v>
      </c>
      <c r="V316" s="13">
        <v>38.879312296299091</v>
      </c>
      <c r="W316" s="14">
        <v>56.067170118510916</v>
      </c>
      <c r="X316" s="5">
        <v>20</v>
      </c>
      <c r="Y316" s="5">
        <v>18</v>
      </c>
      <c r="Z316" s="5">
        <v>14</v>
      </c>
      <c r="AA316" s="5">
        <v>15</v>
      </c>
      <c r="AB316" s="5">
        <v>13</v>
      </c>
      <c r="AC316" s="5">
        <v>18</v>
      </c>
      <c r="AD316" s="6">
        <v>10</v>
      </c>
    </row>
    <row r="317" spans="2:30" x14ac:dyDescent="0.25">
      <c r="B317" s="4" t="s">
        <v>43</v>
      </c>
      <c r="C317" s="66" t="s">
        <v>225</v>
      </c>
      <c r="D317" s="13" t="s">
        <v>161</v>
      </c>
      <c r="E317" s="13" t="s">
        <v>195</v>
      </c>
      <c r="F317" s="13" t="s">
        <v>203</v>
      </c>
      <c r="G317" s="13" t="s">
        <v>255</v>
      </c>
      <c r="H317" s="13" t="s">
        <v>245</v>
      </c>
      <c r="I317" s="14" t="s">
        <v>245</v>
      </c>
      <c r="J317" s="13">
        <v>22</v>
      </c>
      <c r="K317" s="13">
        <v>22</v>
      </c>
      <c r="L317" s="13">
        <v>24</v>
      </c>
      <c r="M317" s="13">
        <v>29</v>
      </c>
      <c r="N317" s="13">
        <v>36</v>
      </c>
      <c r="O317" s="13">
        <v>34</v>
      </c>
      <c r="P317" s="13">
        <v>41</v>
      </c>
      <c r="Q317" s="66">
        <v>33.444561515854005</v>
      </c>
      <c r="R317" s="13">
        <v>28.644806419027628</v>
      </c>
      <c r="S317" s="13">
        <v>26.353848427925534</v>
      </c>
      <c r="T317" s="13">
        <v>29.462133934389779</v>
      </c>
      <c r="U317" s="13">
        <v>33.97426489984187</v>
      </c>
      <c r="V317" s="13">
        <v>37.531350150395951</v>
      </c>
      <c r="W317" s="14">
        <v>37.815517861172289</v>
      </c>
      <c r="X317" s="5">
        <v>18</v>
      </c>
      <c r="Y317" s="5">
        <v>22</v>
      </c>
      <c r="Z317" s="5">
        <v>22</v>
      </c>
      <c r="AA317" s="5">
        <v>21</v>
      </c>
      <c r="AB317" s="5">
        <v>20</v>
      </c>
      <c r="AC317" s="5">
        <v>19</v>
      </c>
      <c r="AD317" s="6">
        <v>19</v>
      </c>
    </row>
    <row r="318" spans="2:30" x14ac:dyDescent="0.25">
      <c r="B318" s="4" t="s">
        <v>44</v>
      </c>
      <c r="C318" s="66" t="s">
        <v>187</v>
      </c>
      <c r="D318" s="13" t="s">
        <v>148</v>
      </c>
      <c r="E318" s="13" t="s">
        <v>246</v>
      </c>
      <c r="F318" s="13" t="s">
        <v>150</v>
      </c>
      <c r="G318" s="13" t="s">
        <v>247</v>
      </c>
      <c r="H318" s="13" t="s">
        <v>214</v>
      </c>
      <c r="I318" s="14" t="s">
        <v>247</v>
      </c>
      <c r="J318" s="13">
        <v>60</v>
      </c>
      <c r="K318" s="13">
        <v>66</v>
      </c>
      <c r="L318" s="13">
        <v>67</v>
      </c>
      <c r="M318" s="13">
        <v>60</v>
      </c>
      <c r="N318" s="13">
        <v>61</v>
      </c>
      <c r="O318" s="13">
        <v>56</v>
      </c>
      <c r="P318" s="13">
        <v>67</v>
      </c>
      <c r="Q318" s="66">
        <v>92.12274950702394</v>
      </c>
      <c r="R318" s="13">
        <v>91.436210933963096</v>
      </c>
      <c r="S318" s="13">
        <v>86.799637159937561</v>
      </c>
      <c r="T318" s="13">
        <v>75.645729128559907</v>
      </c>
      <c r="U318" s="13">
        <v>74.038602650237195</v>
      </c>
      <c r="V318" s="13">
        <v>67.186517360265043</v>
      </c>
      <c r="W318" s="14">
        <v>74.31882237584955</v>
      </c>
      <c r="X318" s="5">
        <v>3</v>
      </c>
      <c r="Y318" s="5">
        <v>2</v>
      </c>
      <c r="Z318" s="5">
        <v>4</v>
      </c>
      <c r="AA318" s="5">
        <v>5</v>
      </c>
      <c r="AB318" s="5">
        <v>5</v>
      </c>
      <c r="AC318" s="5">
        <v>6</v>
      </c>
      <c r="AD318" s="6">
        <v>5</v>
      </c>
    </row>
    <row r="319" spans="2:30" x14ac:dyDescent="0.25">
      <c r="B319" s="4" t="s">
        <v>18</v>
      </c>
      <c r="C319" s="66" t="s">
        <v>256</v>
      </c>
      <c r="D319" s="13" t="s">
        <v>208</v>
      </c>
      <c r="E319" s="13" t="s">
        <v>185</v>
      </c>
      <c r="F319" s="13" t="s">
        <v>219</v>
      </c>
      <c r="G319" s="13" t="s">
        <v>238</v>
      </c>
      <c r="H319" s="13" t="s">
        <v>223</v>
      </c>
      <c r="I319" s="14" t="s">
        <v>224</v>
      </c>
      <c r="J319" s="13">
        <v>25</v>
      </c>
      <c r="K319" s="13">
        <v>34</v>
      </c>
      <c r="L319" s="13">
        <v>37</v>
      </c>
      <c r="M319" s="13">
        <v>37</v>
      </c>
      <c r="N319" s="13">
        <v>41</v>
      </c>
      <c r="O319" s="13">
        <v>32</v>
      </c>
      <c r="P319" s="13">
        <v>40</v>
      </c>
      <c r="Q319" s="66">
        <v>38.077050041472681</v>
      </c>
      <c r="R319" s="13">
        <v>45.769734923100934</v>
      </c>
      <c r="S319" s="13">
        <v>44.628156649231492</v>
      </c>
      <c r="T319" s="13">
        <v>41.380481081272393</v>
      </c>
      <c r="U319" s="13">
        <v>41.987132449920935</v>
      </c>
      <c r="V319" s="13">
        <v>34.835425858589666</v>
      </c>
      <c r="W319" s="14">
        <v>36.411544610607777</v>
      </c>
      <c r="X319" s="5">
        <v>17</v>
      </c>
      <c r="Y319" s="5">
        <v>15</v>
      </c>
      <c r="Z319" s="5">
        <v>16</v>
      </c>
      <c r="AA319" s="5">
        <v>19</v>
      </c>
      <c r="AB319" s="5">
        <v>18</v>
      </c>
      <c r="AC319" s="5">
        <v>21</v>
      </c>
      <c r="AD319" s="6">
        <v>22</v>
      </c>
    </row>
    <row r="320" spans="2:30" x14ac:dyDescent="0.25">
      <c r="B320" s="4" t="s">
        <v>45</v>
      </c>
      <c r="C320" s="66" t="s">
        <v>232</v>
      </c>
      <c r="D320" s="13" t="s">
        <v>177</v>
      </c>
      <c r="E320" s="13" t="s">
        <v>175</v>
      </c>
      <c r="F320" s="13" t="s">
        <v>261</v>
      </c>
      <c r="G320" s="13" t="s">
        <v>176</v>
      </c>
      <c r="H320" s="13" t="s">
        <v>209</v>
      </c>
      <c r="I320" s="14" t="s">
        <v>192</v>
      </c>
      <c r="J320" s="13">
        <v>61</v>
      </c>
      <c r="K320" s="13">
        <v>61</v>
      </c>
      <c r="L320" s="13">
        <v>64</v>
      </c>
      <c r="M320" s="13">
        <v>62</v>
      </c>
      <c r="N320" s="13">
        <v>67</v>
      </c>
      <c r="O320" s="13">
        <v>79</v>
      </c>
      <c r="P320" s="13">
        <v>75</v>
      </c>
      <c r="Q320" s="66">
        <v>93.66691234889683</v>
      </c>
      <c r="R320" s="13">
        <v>84.300824057265885</v>
      </c>
      <c r="S320" s="13">
        <v>82.582489108866952</v>
      </c>
      <c r="T320" s="13">
        <v>78.625315915280567</v>
      </c>
      <c r="U320" s="13">
        <v>83.654043710332076</v>
      </c>
      <c r="V320" s="13">
        <v>98.189646716037288</v>
      </c>
      <c r="W320" s="14">
        <v>85.550608380365617</v>
      </c>
      <c r="X320" s="5">
        <v>2</v>
      </c>
      <c r="Y320" s="5">
        <v>5</v>
      </c>
      <c r="Z320" s="5">
        <v>5</v>
      </c>
      <c r="AA320" s="5">
        <v>4</v>
      </c>
      <c r="AB320" s="5">
        <v>4</v>
      </c>
      <c r="AC320" s="5">
        <v>2</v>
      </c>
      <c r="AD320" s="6">
        <v>4</v>
      </c>
    </row>
    <row r="321" spans="2:30" x14ac:dyDescent="0.25">
      <c r="B321" s="4" t="s">
        <v>46</v>
      </c>
      <c r="C321" s="66" t="s">
        <v>225</v>
      </c>
      <c r="D321" s="13" t="s">
        <v>159</v>
      </c>
      <c r="E321" s="13" t="s">
        <v>165</v>
      </c>
      <c r="F321" s="13" t="s">
        <v>170</v>
      </c>
      <c r="G321" s="13" t="s">
        <v>163</v>
      </c>
      <c r="H321" s="13" t="s">
        <v>180</v>
      </c>
      <c r="I321" s="14" t="s">
        <v>263</v>
      </c>
      <c r="J321" s="13">
        <v>22</v>
      </c>
      <c r="K321" s="13">
        <v>25</v>
      </c>
      <c r="L321" s="13">
        <v>28</v>
      </c>
      <c r="M321" s="13">
        <v>28</v>
      </c>
      <c r="N321" s="13">
        <v>32</v>
      </c>
      <c r="O321" s="13">
        <v>23</v>
      </c>
      <c r="P321" s="13">
        <v>27</v>
      </c>
      <c r="Q321" s="66">
        <v>33.444561515854005</v>
      </c>
      <c r="R321" s="13">
        <v>32.926038545045955</v>
      </c>
      <c r="S321" s="13">
        <v>31.976712496019672</v>
      </c>
      <c r="T321" s="13">
        <v>27.972340541029453</v>
      </c>
      <c r="U321" s="13">
        <v>27.563970859778621</v>
      </c>
      <c r="V321" s="13">
        <v>22.703766545461395</v>
      </c>
      <c r="W321" s="14">
        <v>18.159892353269154</v>
      </c>
      <c r="X321" s="5">
        <v>18</v>
      </c>
      <c r="Y321" s="5">
        <v>20</v>
      </c>
      <c r="Z321" s="5">
        <v>19</v>
      </c>
      <c r="AA321" s="5">
        <v>23</v>
      </c>
      <c r="AB321" s="5">
        <v>22</v>
      </c>
      <c r="AC321" s="5">
        <v>25</v>
      </c>
      <c r="AD321" s="6">
        <v>25</v>
      </c>
    </row>
    <row r="322" spans="2:30" x14ac:dyDescent="0.25">
      <c r="B322" s="4" t="s">
        <v>47</v>
      </c>
      <c r="C322" s="66" t="s">
        <v>161</v>
      </c>
      <c r="D322" s="13" t="s">
        <v>171</v>
      </c>
      <c r="E322" s="13" t="s">
        <v>205</v>
      </c>
      <c r="F322" s="13" t="s">
        <v>219</v>
      </c>
      <c r="G322" s="13" t="s">
        <v>221</v>
      </c>
      <c r="H322" s="13" t="s">
        <v>200</v>
      </c>
      <c r="I322" s="14" t="s">
        <v>245</v>
      </c>
      <c r="J322" s="13">
        <v>19</v>
      </c>
      <c r="K322" s="13">
        <v>21</v>
      </c>
      <c r="L322" s="13">
        <v>26</v>
      </c>
      <c r="M322" s="13">
        <v>37</v>
      </c>
      <c r="N322" s="13">
        <v>39</v>
      </c>
      <c r="O322" s="13">
        <v>38</v>
      </c>
      <c r="P322" s="13">
        <v>41</v>
      </c>
      <c r="Q322" s="66">
        <v>28.812072990235325</v>
      </c>
      <c r="R322" s="13">
        <v>27.217729043688184</v>
      </c>
      <c r="S322" s="13">
        <v>29.165280461972603</v>
      </c>
      <c r="T322" s="13">
        <v>41.380481081272393</v>
      </c>
      <c r="U322" s="13">
        <v>38.781985429889311</v>
      </c>
      <c r="V322" s="13">
        <v>42.923198734008508</v>
      </c>
      <c r="W322" s="14">
        <v>37.815517861172289</v>
      </c>
      <c r="X322" s="5">
        <v>22</v>
      </c>
      <c r="Y322" s="5">
        <v>23</v>
      </c>
      <c r="Z322" s="5">
        <v>20</v>
      </c>
      <c r="AA322" s="5">
        <v>19</v>
      </c>
      <c r="AB322" s="5">
        <v>19</v>
      </c>
      <c r="AC322" s="5">
        <v>15</v>
      </c>
      <c r="AD322" s="6">
        <v>19</v>
      </c>
    </row>
    <row r="323" spans="2:30" x14ac:dyDescent="0.25">
      <c r="B323" s="4" t="s">
        <v>48</v>
      </c>
      <c r="C323" s="66" t="s">
        <v>265</v>
      </c>
      <c r="D323" s="13" t="s">
        <v>264</v>
      </c>
      <c r="E323" s="13" t="s">
        <v>259</v>
      </c>
      <c r="F323" s="13" t="s">
        <v>242</v>
      </c>
      <c r="G323" s="13" t="s">
        <v>182</v>
      </c>
      <c r="H323" s="13" t="s">
        <v>242</v>
      </c>
      <c r="I323" s="14" t="s">
        <v>242</v>
      </c>
      <c r="J323" s="13">
        <v>6.1964980544747075</v>
      </c>
      <c r="K323" s="13">
        <v>7</v>
      </c>
      <c r="L323" s="13">
        <v>8</v>
      </c>
      <c r="M323" s="13">
        <v>7</v>
      </c>
      <c r="N323" s="13">
        <v>31</v>
      </c>
      <c r="O323" s="13">
        <v>5</v>
      </c>
      <c r="P323" s="13">
        <v>10</v>
      </c>
      <c r="Q323" s="66">
        <v>9.0413810401078791</v>
      </c>
      <c r="R323" s="13">
        <v>7.2386457889359903</v>
      </c>
      <c r="S323" s="13">
        <v>3.8623921555489673</v>
      </c>
      <c r="T323" s="13">
        <v>0</v>
      </c>
      <c r="U323" s="13">
        <v>25.961397349762809</v>
      </c>
      <c r="V323" s="13">
        <v>0</v>
      </c>
      <c r="W323" s="14">
        <v>0</v>
      </c>
      <c r="X323" s="5">
        <v>28</v>
      </c>
      <c r="Y323" s="5">
        <v>28</v>
      </c>
      <c r="Z323" s="5">
        <v>28</v>
      </c>
      <c r="AA323" s="5">
        <v>28</v>
      </c>
      <c r="AB323" s="5">
        <v>23</v>
      </c>
      <c r="AC323" s="5">
        <v>28</v>
      </c>
      <c r="AD323" s="6">
        <v>28</v>
      </c>
    </row>
    <row r="324" spans="2:30" x14ac:dyDescent="0.25">
      <c r="B324" s="4" t="s">
        <v>56</v>
      </c>
      <c r="C324" s="66" t="s">
        <v>116</v>
      </c>
      <c r="D324" s="13" t="s">
        <v>212</v>
      </c>
      <c r="E324" s="13" t="s">
        <v>216</v>
      </c>
      <c r="F324" s="13" t="s">
        <v>215</v>
      </c>
      <c r="G324" s="13" t="s">
        <v>184</v>
      </c>
      <c r="H324" s="13" t="s">
        <v>234</v>
      </c>
      <c r="I324" s="14" t="s">
        <v>204</v>
      </c>
      <c r="J324" s="13">
        <v>40</v>
      </c>
      <c r="K324" s="13">
        <v>38</v>
      </c>
      <c r="L324" s="13">
        <v>50</v>
      </c>
      <c r="M324" s="13">
        <v>48</v>
      </c>
      <c r="N324" s="13">
        <v>42</v>
      </c>
      <c r="O324" s="13">
        <v>33</v>
      </c>
      <c r="P324" s="13">
        <v>57</v>
      </c>
      <c r="Q324" s="66">
        <v>61.239492669566076</v>
      </c>
      <c r="R324" s="13">
        <v>51.478044424458709</v>
      </c>
      <c r="S324" s="13">
        <v>62.90246487053745</v>
      </c>
      <c r="T324" s="13">
        <v>57.768208408235992</v>
      </c>
      <c r="U324" s="13">
        <v>43.589705959936751</v>
      </c>
      <c r="V324" s="13">
        <v>36.183388004492805</v>
      </c>
      <c r="W324" s="14">
        <v>60.279089870204444</v>
      </c>
      <c r="X324" s="5">
        <v>9</v>
      </c>
      <c r="Y324" s="5">
        <v>12</v>
      </c>
      <c r="Z324" s="5">
        <v>8</v>
      </c>
      <c r="AA324" s="5">
        <v>10</v>
      </c>
      <c r="AB324" s="5">
        <v>16</v>
      </c>
      <c r="AC324" s="5">
        <v>20</v>
      </c>
      <c r="AD324" s="6">
        <v>8</v>
      </c>
    </row>
    <row r="325" spans="2:30" x14ac:dyDescent="0.25">
      <c r="B325" s="4" t="s">
        <v>49</v>
      </c>
      <c r="C325" s="66" t="s">
        <v>217</v>
      </c>
      <c r="D325" s="13" t="s">
        <v>191</v>
      </c>
      <c r="E325" s="13" t="s">
        <v>237</v>
      </c>
      <c r="F325" s="13" t="s">
        <v>236</v>
      </c>
      <c r="G325" s="13" t="s">
        <v>199</v>
      </c>
      <c r="H325" s="13" t="s">
        <v>213</v>
      </c>
      <c r="I325" s="14" t="s">
        <v>160</v>
      </c>
      <c r="J325" s="13">
        <v>35</v>
      </c>
      <c r="K325" s="13">
        <v>35</v>
      </c>
      <c r="L325" s="13">
        <v>44</v>
      </c>
      <c r="M325" s="13">
        <v>46</v>
      </c>
      <c r="N325" s="13">
        <v>48</v>
      </c>
      <c r="O325" s="13">
        <v>52</v>
      </c>
      <c r="P325" s="13">
        <v>53</v>
      </c>
      <c r="Q325" s="66">
        <v>53.518678460201613</v>
      </c>
      <c r="R325" s="13">
        <v>47.196812298440378</v>
      </c>
      <c r="S325" s="13">
        <v>54.468168768396239</v>
      </c>
      <c r="T325" s="13">
        <v>54.78862162151534</v>
      </c>
      <c r="U325" s="13">
        <v>53.205147020031625</v>
      </c>
      <c r="V325" s="13">
        <v>61.794668776652486</v>
      </c>
      <c r="W325" s="14">
        <v>54.663196867946404</v>
      </c>
      <c r="X325" s="5">
        <v>12</v>
      </c>
      <c r="Y325" s="5">
        <v>14</v>
      </c>
      <c r="Z325" s="5">
        <v>13</v>
      </c>
      <c r="AA325" s="5">
        <v>12</v>
      </c>
      <c r="AB325" s="5">
        <v>12</v>
      </c>
      <c r="AC325" s="5">
        <v>8</v>
      </c>
      <c r="AD325" s="6">
        <v>11</v>
      </c>
    </row>
    <row r="326" spans="2:30" x14ac:dyDescent="0.25">
      <c r="B326" s="4" t="s">
        <v>50</v>
      </c>
      <c r="C326" s="66" t="s">
        <v>191</v>
      </c>
      <c r="D326" s="13" t="s">
        <v>208</v>
      </c>
      <c r="E326" s="13" t="s">
        <v>208</v>
      </c>
      <c r="F326" s="13" t="s">
        <v>220</v>
      </c>
      <c r="G326" s="13" t="s">
        <v>191</v>
      </c>
      <c r="H326" s="13" t="s">
        <v>260</v>
      </c>
      <c r="I326" s="14" t="s">
        <v>244</v>
      </c>
      <c r="J326" s="13">
        <v>31</v>
      </c>
      <c r="K326" s="13">
        <v>34</v>
      </c>
      <c r="L326" s="13">
        <v>38</v>
      </c>
      <c r="M326" s="13">
        <v>38</v>
      </c>
      <c r="N326" s="13">
        <v>44</v>
      </c>
      <c r="O326" s="13">
        <v>44</v>
      </c>
      <c r="P326" s="13">
        <v>49</v>
      </c>
      <c r="Q326" s="66">
        <v>47.34202709271004</v>
      </c>
      <c r="R326" s="13">
        <v>45.769734923100934</v>
      </c>
      <c r="S326" s="13">
        <v>46.033872666255029</v>
      </c>
      <c r="T326" s="13">
        <v>42.870274474632723</v>
      </c>
      <c r="U326" s="13">
        <v>46.794852979968375</v>
      </c>
      <c r="V326" s="13">
        <v>51.010971609427358</v>
      </c>
      <c r="W326" s="14">
        <v>49.047303865688363</v>
      </c>
      <c r="X326" s="5">
        <v>14</v>
      </c>
      <c r="Y326" s="5">
        <v>15</v>
      </c>
      <c r="Z326" s="5">
        <v>15</v>
      </c>
      <c r="AA326" s="5">
        <v>17</v>
      </c>
      <c r="AB326" s="5">
        <v>14</v>
      </c>
      <c r="AC326" s="5">
        <v>13</v>
      </c>
      <c r="AD326" s="6">
        <v>16</v>
      </c>
    </row>
    <row r="327" spans="2:30" x14ac:dyDescent="0.25">
      <c r="B327" s="4" t="s">
        <v>51</v>
      </c>
      <c r="C327" s="66" t="s">
        <v>228</v>
      </c>
      <c r="D327" s="13" t="s">
        <v>188</v>
      </c>
      <c r="E327" s="13" t="s">
        <v>146</v>
      </c>
      <c r="F327" s="13" t="s">
        <v>210</v>
      </c>
      <c r="G327" s="13" t="s">
        <v>147</v>
      </c>
      <c r="H327" s="13" t="s">
        <v>231</v>
      </c>
      <c r="I327" s="14" t="s">
        <v>232</v>
      </c>
      <c r="J327" s="13">
        <v>59</v>
      </c>
      <c r="K327" s="13">
        <v>65</v>
      </c>
      <c r="L327" s="13">
        <v>68</v>
      </c>
      <c r="M327" s="13">
        <v>74</v>
      </c>
      <c r="N327" s="13">
        <v>78</v>
      </c>
      <c r="O327" s="13">
        <v>78</v>
      </c>
      <c r="P327" s="13">
        <v>81</v>
      </c>
      <c r="Q327" s="66">
        <v>90.57858666515105</v>
      </c>
      <c r="R327" s="13">
        <v>90.00913355862366</v>
      </c>
      <c r="S327" s="13">
        <v>88.205353176961097</v>
      </c>
      <c r="T327" s="13">
        <v>96.502836635604496</v>
      </c>
      <c r="U327" s="13">
        <v>100</v>
      </c>
      <c r="V327" s="13">
        <v>96.841684570134149</v>
      </c>
      <c r="W327" s="14">
        <v>93.974447883752674</v>
      </c>
      <c r="X327" s="5">
        <v>4</v>
      </c>
      <c r="Y327" s="5">
        <v>3</v>
      </c>
      <c r="Z327" s="5">
        <v>2</v>
      </c>
      <c r="AA327" s="5">
        <v>2</v>
      </c>
      <c r="AB327" s="5">
        <v>1</v>
      </c>
      <c r="AC327" s="5">
        <v>3</v>
      </c>
      <c r="AD327" s="6">
        <v>2</v>
      </c>
    </row>
    <row r="328" spans="2:30" ht="15.75" thickBot="1" x14ac:dyDescent="0.3">
      <c r="B328" s="7" t="s">
        <v>54</v>
      </c>
      <c r="C328" s="67" t="s">
        <v>116</v>
      </c>
      <c r="D328" s="15" t="s">
        <v>144</v>
      </c>
      <c r="E328" s="15" t="s">
        <v>149</v>
      </c>
      <c r="F328" s="15" t="s">
        <v>254</v>
      </c>
      <c r="G328" s="15" t="s">
        <v>190</v>
      </c>
      <c r="H328" s="15" t="s">
        <v>191</v>
      </c>
      <c r="I328" s="16" t="s">
        <v>206</v>
      </c>
      <c r="J328" s="15">
        <v>40</v>
      </c>
      <c r="K328" s="15">
        <v>48</v>
      </c>
      <c r="L328" s="15">
        <v>48</v>
      </c>
      <c r="M328" s="15">
        <v>40</v>
      </c>
      <c r="N328" s="15">
        <v>43</v>
      </c>
      <c r="O328" s="15">
        <v>41</v>
      </c>
      <c r="P328" s="15">
        <v>51</v>
      </c>
      <c r="Q328" s="67">
        <v>61.239492669566076</v>
      </c>
      <c r="R328" s="15">
        <v>65.748818177853138</v>
      </c>
      <c r="S328" s="15">
        <v>60.091032836490385</v>
      </c>
      <c r="T328" s="15">
        <v>45.849861261353375</v>
      </c>
      <c r="U328" s="15">
        <v>45.19227946995256</v>
      </c>
      <c r="V328" s="15">
        <v>46.967085171717933</v>
      </c>
      <c r="W328" s="16">
        <v>51.855250366817387</v>
      </c>
      <c r="X328" s="8">
        <v>9</v>
      </c>
      <c r="Y328" s="8">
        <v>7</v>
      </c>
      <c r="Z328" s="8">
        <v>11</v>
      </c>
      <c r="AA328" s="8">
        <v>16</v>
      </c>
      <c r="AB328" s="8">
        <v>15</v>
      </c>
      <c r="AC328" s="8">
        <v>14</v>
      </c>
      <c r="AD328" s="9">
        <v>13</v>
      </c>
    </row>
  </sheetData>
  <sortState ref="B3:AD30">
    <sortCondition ref="AD3:AD30"/>
  </sortState>
  <dataConsolidate/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/>
  <dimension ref="A1:AA30"/>
  <sheetViews>
    <sheetView workbookViewId="0">
      <selection activeCell="I31" sqref="I31"/>
    </sheetView>
  </sheetViews>
  <sheetFormatPr defaultRowHeight="15" x14ac:dyDescent="0.25"/>
  <cols>
    <col min="8" max="8" width="16.85546875" customWidth="1"/>
    <col min="9" max="9" width="19.7109375" bestFit="1" customWidth="1"/>
    <col min="10" max="10" width="26" customWidth="1"/>
  </cols>
  <sheetData>
    <row r="1" spans="1:27" x14ac:dyDescent="0.25">
      <c r="A1" t="s">
        <v>27</v>
      </c>
      <c r="B1" t="s">
        <v>0</v>
      </c>
      <c r="C1" t="str">
        <f>A1</f>
        <v>Rakousko</v>
      </c>
      <c r="H1" t="s">
        <v>100</v>
      </c>
      <c r="I1" s="28" t="s">
        <v>101</v>
      </c>
      <c r="J1" s="28" t="s">
        <v>102</v>
      </c>
      <c r="K1" s="28" t="s">
        <v>103</v>
      </c>
      <c r="L1" s="28" t="s">
        <v>104</v>
      </c>
      <c r="M1" s="29" t="s">
        <v>105</v>
      </c>
      <c r="N1" s="29" t="s">
        <v>118</v>
      </c>
      <c r="Q1" s="33"/>
      <c r="R1" s="34" t="s">
        <v>108</v>
      </c>
      <c r="S1" s="35"/>
      <c r="T1" s="35"/>
      <c r="U1" s="35"/>
      <c r="V1" s="35"/>
      <c r="W1" s="36" t="s">
        <v>109</v>
      </c>
      <c r="X1" s="5"/>
      <c r="Y1" s="5"/>
      <c r="Z1" s="5"/>
      <c r="AA1" s="5"/>
    </row>
    <row r="2" spans="1:27" x14ac:dyDescent="0.25">
      <c r="A2" t="s">
        <v>28</v>
      </c>
      <c r="B2" t="s">
        <v>1</v>
      </c>
      <c r="C2" t="str">
        <f t="shared" ref="C2:C28" si="0">A2</f>
        <v>Belgie</v>
      </c>
      <c r="H2">
        <v>1</v>
      </c>
      <c r="I2" s="17" t="s">
        <v>70</v>
      </c>
      <c r="J2" s="18" t="s">
        <v>67</v>
      </c>
      <c r="K2" s="18" t="s">
        <v>71</v>
      </c>
      <c r="L2" s="18" t="s">
        <v>107</v>
      </c>
      <c r="M2" s="19" t="s">
        <v>72</v>
      </c>
      <c r="N2" s="22">
        <v>0</v>
      </c>
      <c r="Q2" s="38" t="s">
        <v>111</v>
      </c>
      <c r="R2" s="39">
        <v>2010</v>
      </c>
      <c r="S2" s="40">
        <v>2011</v>
      </c>
      <c r="T2" s="40">
        <v>2012</v>
      </c>
      <c r="U2" s="40">
        <v>2013</v>
      </c>
      <c r="V2" s="41">
        <v>2014</v>
      </c>
      <c r="W2" s="42">
        <v>2010</v>
      </c>
      <c r="X2" s="43">
        <v>2011</v>
      </c>
      <c r="Y2" s="43">
        <v>2012</v>
      </c>
      <c r="Z2" s="43">
        <v>2013</v>
      </c>
      <c r="AA2" s="44">
        <v>2014</v>
      </c>
    </row>
    <row r="3" spans="1:27" x14ac:dyDescent="0.25">
      <c r="A3" t="s">
        <v>29</v>
      </c>
      <c r="B3" t="s">
        <v>2</v>
      </c>
      <c r="C3" t="str">
        <f t="shared" si="0"/>
        <v>Bulharsko</v>
      </c>
      <c r="H3">
        <v>2</v>
      </c>
      <c r="I3" s="20" t="s">
        <v>73</v>
      </c>
      <c r="J3" s="5" t="s">
        <v>53</v>
      </c>
      <c r="K3" s="5" t="s">
        <v>106</v>
      </c>
      <c r="L3" s="5" t="s">
        <v>74</v>
      </c>
      <c r="M3" s="21" t="s">
        <v>75</v>
      </c>
      <c r="N3" s="22" t="s">
        <v>119</v>
      </c>
      <c r="Q3" s="45" t="s">
        <v>0</v>
      </c>
      <c r="R3" s="46">
        <v>82.08</v>
      </c>
      <c r="S3" s="46">
        <v>79.75</v>
      </c>
      <c r="T3" s="46">
        <v>83.15</v>
      </c>
      <c r="U3" s="46">
        <v>80.42</v>
      </c>
      <c r="V3" s="47">
        <v>81.790000000000006</v>
      </c>
      <c r="W3" s="48">
        <v>2.67</v>
      </c>
      <c r="X3" s="49">
        <v>2.71</v>
      </c>
      <c r="Y3" s="49">
        <v>2.8</v>
      </c>
      <c r="Z3" s="49">
        <v>2.77</v>
      </c>
      <c r="AA3" s="50">
        <v>2.84</v>
      </c>
    </row>
    <row r="4" spans="1:27" x14ac:dyDescent="0.25">
      <c r="A4" t="s">
        <v>30</v>
      </c>
      <c r="B4" t="s">
        <v>3</v>
      </c>
      <c r="C4" t="str">
        <f t="shared" si="0"/>
        <v>Chorvatsko</v>
      </c>
      <c r="H4">
        <v>3</v>
      </c>
      <c r="I4" s="20" t="s">
        <v>57</v>
      </c>
      <c r="J4" s="22" t="s">
        <v>76</v>
      </c>
      <c r="K4" s="5" t="s">
        <v>77</v>
      </c>
      <c r="L4" s="5" t="s">
        <v>78</v>
      </c>
      <c r="M4" s="21" t="s">
        <v>79</v>
      </c>
      <c r="N4" s="22" t="s">
        <v>120</v>
      </c>
      <c r="Q4" s="51" t="s">
        <v>1</v>
      </c>
      <c r="R4" s="52">
        <v>63.08</v>
      </c>
      <c r="S4" s="52">
        <v>62.16</v>
      </c>
      <c r="T4" s="52">
        <v>64.27</v>
      </c>
      <c r="U4" s="52">
        <v>65.42</v>
      </c>
      <c r="V4" s="53">
        <v>65.5</v>
      </c>
      <c r="W4" s="54">
        <v>1.97</v>
      </c>
      <c r="X4" s="55">
        <v>2.0299999999999998</v>
      </c>
      <c r="Y4" s="55">
        <v>2.1</v>
      </c>
      <c r="Z4" s="55">
        <v>2.21</v>
      </c>
      <c r="AA4" s="56">
        <v>2.2400000000000002</v>
      </c>
    </row>
    <row r="5" spans="1:27" x14ac:dyDescent="0.25">
      <c r="A5" t="s">
        <v>31</v>
      </c>
      <c r="B5" t="s">
        <v>4</v>
      </c>
      <c r="C5" t="str">
        <f t="shared" si="0"/>
        <v>Kypr</v>
      </c>
      <c r="H5">
        <v>4</v>
      </c>
      <c r="I5" s="23" t="s">
        <v>58</v>
      </c>
      <c r="J5" s="22" t="s">
        <v>139</v>
      </c>
      <c r="K5" s="5" t="s">
        <v>80</v>
      </c>
      <c r="L5" s="22" t="s">
        <v>81</v>
      </c>
      <c r="M5" s="21" t="s">
        <v>82</v>
      </c>
      <c r="N5" s="22">
        <v>0</v>
      </c>
      <c r="Q5" s="51" t="s">
        <v>2</v>
      </c>
      <c r="R5" s="52">
        <v>22.34</v>
      </c>
      <c r="S5" s="52">
        <v>23.37</v>
      </c>
      <c r="T5" s="52">
        <v>23.81</v>
      </c>
      <c r="U5" s="52">
        <v>21.48</v>
      </c>
      <c r="V5" s="53">
        <v>22.07</v>
      </c>
      <c r="W5" s="54">
        <v>0.47</v>
      </c>
      <c r="X5" s="55">
        <v>0.53</v>
      </c>
      <c r="Y5" s="55">
        <v>0.6</v>
      </c>
      <c r="Z5" s="55">
        <v>0.56999999999999995</v>
      </c>
      <c r="AA5" s="56">
        <v>0.64</v>
      </c>
    </row>
    <row r="6" spans="1:27" x14ac:dyDescent="0.25">
      <c r="A6" t="s">
        <v>32</v>
      </c>
      <c r="B6" t="s">
        <v>5</v>
      </c>
      <c r="C6" t="str">
        <f t="shared" si="0"/>
        <v>Česká republika</v>
      </c>
      <c r="H6">
        <v>5</v>
      </c>
      <c r="I6" s="23" t="s">
        <v>59</v>
      </c>
      <c r="J6" s="22" t="s">
        <v>60</v>
      </c>
      <c r="K6" s="5" t="s">
        <v>83</v>
      </c>
      <c r="L6" s="22" t="s">
        <v>84</v>
      </c>
      <c r="M6" s="21" t="s">
        <v>85</v>
      </c>
      <c r="N6" s="22" t="s">
        <v>120</v>
      </c>
      <c r="Q6" s="51" t="s">
        <v>3</v>
      </c>
      <c r="R6" s="52">
        <v>34.020000000000003</v>
      </c>
      <c r="S6" s="52">
        <v>31.65</v>
      </c>
      <c r="T6" s="52">
        <v>27.86</v>
      </c>
      <c r="U6" s="52">
        <v>26.57</v>
      </c>
      <c r="V6" s="53">
        <v>25.05</v>
      </c>
      <c r="W6" s="54">
        <v>0.9</v>
      </c>
      <c r="X6" s="55">
        <v>0.85</v>
      </c>
      <c r="Y6" s="55">
        <v>0.75</v>
      </c>
      <c r="Z6" s="55">
        <v>0.76</v>
      </c>
      <c r="AA6" s="56">
        <v>0.75</v>
      </c>
    </row>
    <row r="7" spans="1:27" x14ac:dyDescent="0.25">
      <c r="A7" t="s">
        <v>33</v>
      </c>
      <c r="B7" t="s">
        <v>6</v>
      </c>
      <c r="C7" t="str">
        <f t="shared" si="0"/>
        <v>Dánsko</v>
      </c>
      <c r="H7">
        <v>6</v>
      </c>
      <c r="I7" s="23" t="s">
        <v>86</v>
      </c>
      <c r="J7" s="22" t="s">
        <v>62</v>
      </c>
      <c r="K7" s="5" t="s">
        <v>87</v>
      </c>
      <c r="L7" s="22" t="s">
        <v>88</v>
      </c>
      <c r="M7" s="21" t="s">
        <v>75</v>
      </c>
      <c r="N7" s="22" t="s">
        <v>121</v>
      </c>
      <c r="Q7" s="51" t="s">
        <v>4</v>
      </c>
      <c r="R7" s="52">
        <v>21.26</v>
      </c>
      <c r="S7" s="52">
        <v>22.34</v>
      </c>
      <c r="T7" s="52">
        <v>21.11</v>
      </c>
      <c r="U7" s="52">
        <v>19.329999999999998</v>
      </c>
      <c r="V7" s="53">
        <v>17.18</v>
      </c>
      <c r="W7" s="54">
        <v>0.43</v>
      </c>
      <c r="X7" s="55">
        <v>0.49</v>
      </c>
      <c r="Y7" s="55">
        <v>0.5</v>
      </c>
      <c r="Z7" s="55">
        <v>0.49</v>
      </c>
      <c r="AA7" s="56">
        <v>0.46</v>
      </c>
    </row>
    <row r="8" spans="1:27" x14ac:dyDescent="0.25">
      <c r="A8" t="s">
        <v>34</v>
      </c>
      <c r="B8" t="s">
        <v>7</v>
      </c>
      <c r="C8" t="str">
        <f t="shared" si="0"/>
        <v>Estonsko</v>
      </c>
      <c r="H8">
        <v>7</v>
      </c>
      <c r="I8" s="23" t="s">
        <v>63</v>
      </c>
      <c r="J8" s="22" t="s">
        <v>650</v>
      </c>
      <c r="K8" s="5" t="s">
        <v>89</v>
      </c>
      <c r="L8" s="22" t="s">
        <v>90</v>
      </c>
      <c r="M8" s="21" t="s">
        <v>75</v>
      </c>
      <c r="N8" s="22">
        <v>0</v>
      </c>
      <c r="Q8" s="51" t="s">
        <v>5</v>
      </c>
      <c r="R8" s="52">
        <v>44.88</v>
      </c>
      <c r="S8" s="52">
        <v>44.58</v>
      </c>
      <c r="T8" s="52">
        <v>45.39</v>
      </c>
      <c r="U8" s="52">
        <v>50.14</v>
      </c>
      <c r="V8" s="53">
        <v>55.73</v>
      </c>
      <c r="W8" s="54">
        <v>1.3</v>
      </c>
      <c r="X8" s="55">
        <v>1.35</v>
      </c>
      <c r="Y8" s="55">
        <v>1.4</v>
      </c>
      <c r="Z8" s="55">
        <v>1.64</v>
      </c>
      <c r="AA8" s="56">
        <v>1.88</v>
      </c>
    </row>
    <row r="9" spans="1:27" x14ac:dyDescent="0.25">
      <c r="A9" t="s">
        <v>35</v>
      </c>
      <c r="B9" t="s">
        <v>8</v>
      </c>
      <c r="C9" t="str">
        <f t="shared" si="0"/>
        <v>Finsko</v>
      </c>
      <c r="H9">
        <v>8</v>
      </c>
      <c r="I9" s="23" t="s">
        <v>91</v>
      </c>
      <c r="J9" s="22" t="s">
        <v>137</v>
      </c>
      <c r="K9" s="5" t="s">
        <v>92</v>
      </c>
      <c r="L9" s="22" t="s">
        <v>138</v>
      </c>
      <c r="M9" s="21" t="s">
        <v>75</v>
      </c>
      <c r="N9" s="22" t="s">
        <v>119</v>
      </c>
      <c r="Q9" s="51" t="s">
        <v>6</v>
      </c>
      <c r="R9" s="52">
        <v>86.97</v>
      </c>
      <c r="S9" s="52">
        <v>91.38</v>
      </c>
      <c r="T9" s="52">
        <v>88.54</v>
      </c>
      <c r="U9" s="52">
        <v>86.05</v>
      </c>
      <c r="V9" s="53">
        <v>85.59</v>
      </c>
      <c r="W9" s="54">
        <v>2.85</v>
      </c>
      <c r="X9" s="55">
        <v>3.16</v>
      </c>
      <c r="Y9" s="55">
        <v>3</v>
      </c>
      <c r="Z9" s="55">
        <v>2.98</v>
      </c>
      <c r="AA9" s="56">
        <v>2.98</v>
      </c>
    </row>
    <row r="10" spans="1:27" x14ac:dyDescent="0.25">
      <c r="A10" t="s">
        <v>36</v>
      </c>
      <c r="B10" t="s">
        <v>9</v>
      </c>
      <c r="C10" t="str">
        <f t="shared" si="0"/>
        <v>Francie</v>
      </c>
      <c r="H10">
        <v>9</v>
      </c>
      <c r="I10" s="23" t="s">
        <v>93</v>
      </c>
      <c r="J10" s="22" t="s">
        <v>94</v>
      </c>
      <c r="K10" s="5" t="s">
        <v>95</v>
      </c>
      <c r="L10" s="22" t="s">
        <v>96</v>
      </c>
      <c r="M10" s="21" t="s">
        <v>75</v>
      </c>
      <c r="N10" s="22" t="s">
        <v>119</v>
      </c>
      <c r="Q10" s="51" t="s">
        <v>7</v>
      </c>
      <c r="R10" s="52">
        <v>44.34</v>
      </c>
      <c r="S10" s="52">
        <v>46.13</v>
      </c>
      <c r="T10" s="52">
        <v>51.32</v>
      </c>
      <c r="U10" s="52">
        <v>69.7</v>
      </c>
      <c r="V10" s="53">
        <v>63.87</v>
      </c>
      <c r="W10" s="54">
        <v>1.28</v>
      </c>
      <c r="X10" s="55">
        <v>1.41</v>
      </c>
      <c r="Y10" s="55">
        <v>1.62</v>
      </c>
      <c r="Z10" s="55">
        <v>2.37</v>
      </c>
      <c r="AA10" s="56">
        <v>2.1800000000000002</v>
      </c>
    </row>
    <row r="11" spans="1:27" x14ac:dyDescent="0.25">
      <c r="A11" t="s">
        <v>37</v>
      </c>
      <c r="B11" t="s">
        <v>10</v>
      </c>
      <c r="C11" t="str">
        <f t="shared" si="0"/>
        <v>Německo</v>
      </c>
      <c r="H11">
        <v>10</v>
      </c>
      <c r="I11" s="24" t="s">
        <v>66</v>
      </c>
      <c r="J11" s="25" t="s">
        <v>97</v>
      </c>
      <c r="K11" s="26" t="s">
        <v>98</v>
      </c>
      <c r="L11" s="25" t="s">
        <v>99</v>
      </c>
      <c r="M11" s="27" t="s">
        <v>75</v>
      </c>
      <c r="N11" s="22">
        <v>0</v>
      </c>
      <c r="Q11" s="51" t="s">
        <v>8</v>
      </c>
      <c r="R11" s="52">
        <v>100</v>
      </c>
      <c r="S11" s="52">
        <v>100</v>
      </c>
      <c r="T11" s="52">
        <v>100</v>
      </c>
      <c r="U11" s="52">
        <v>100</v>
      </c>
      <c r="V11" s="53">
        <v>100</v>
      </c>
      <c r="W11" s="54">
        <v>3.7</v>
      </c>
      <c r="X11" s="55">
        <v>3.94</v>
      </c>
      <c r="Y11" s="55">
        <v>3.9</v>
      </c>
      <c r="Z11" s="55">
        <v>3.8</v>
      </c>
      <c r="AA11" s="56">
        <v>3.55</v>
      </c>
    </row>
    <row r="12" spans="1:27" x14ac:dyDescent="0.25">
      <c r="A12" t="s">
        <v>38</v>
      </c>
      <c r="B12" t="s">
        <v>11</v>
      </c>
      <c r="C12" t="str">
        <f t="shared" si="0"/>
        <v>Řecko</v>
      </c>
      <c r="Q12" s="51" t="s">
        <v>9</v>
      </c>
      <c r="R12" s="52">
        <v>67.150000000000006</v>
      </c>
      <c r="S12" s="52">
        <v>68.37</v>
      </c>
      <c r="T12" s="52">
        <v>68.05</v>
      </c>
      <c r="U12" s="52">
        <v>66.489999999999995</v>
      </c>
      <c r="V12" s="53">
        <v>66.86</v>
      </c>
      <c r="W12" s="54">
        <v>2.12</v>
      </c>
      <c r="X12" s="55">
        <v>2.27</v>
      </c>
      <c r="Y12" s="55">
        <v>2.2400000000000002</v>
      </c>
      <c r="Z12" s="55">
        <v>2.25</v>
      </c>
      <c r="AA12" s="56">
        <v>2.29</v>
      </c>
    </row>
    <row r="13" spans="1:27" x14ac:dyDescent="0.25">
      <c r="A13" t="s">
        <v>39</v>
      </c>
      <c r="B13" t="s">
        <v>12</v>
      </c>
      <c r="C13" t="str">
        <f t="shared" si="0"/>
        <v>Maďarsko</v>
      </c>
      <c r="Q13" s="51" t="s">
        <v>10</v>
      </c>
      <c r="R13" s="52">
        <v>82.63</v>
      </c>
      <c r="S13" s="52">
        <v>82.59</v>
      </c>
      <c r="T13" s="52">
        <v>83.15</v>
      </c>
      <c r="U13" s="52">
        <v>83.63</v>
      </c>
      <c r="V13" s="53">
        <v>85.59</v>
      </c>
      <c r="W13" s="54">
        <v>2.69</v>
      </c>
      <c r="X13" s="55">
        <v>2.82</v>
      </c>
      <c r="Y13" s="55">
        <v>2.8</v>
      </c>
      <c r="Z13" s="55">
        <v>2.89</v>
      </c>
      <c r="AA13" s="56">
        <v>2.98</v>
      </c>
    </row>
    <row r="14" spans="1:27" x14ac:dyDescent="0.25">
      <c r="A14" t="s">
        <v>40</v>
      </c>
      <c r="B14" t="s">
        <v>13</v>
      </c>
      <c r="C14" t="str">
        <f t="shared" si="0"/>
        <v>Irsko</v>
      </c>
      <c r="Q14" s="51" t="s">
        <v>11</v>
      </c>
      <c r="R14" s="52">
        <v>26.62</v>
      </c>
      <c r="S14" s="52">
        <v>26.74</v>
      </c>
      <c r="T14" s="52">
        <v>25.35</v>
      </c>
      <c r="U14" s="52">
        <v>24.15</v>
      </c>
      <c r="V14" s="53">
        <v>23.43</v>
      </c>
      <c r="W14" s="54">
        <v>0.627</v>
      </c>
      <c r="X14" s="55">
        <v>0.66</v>
      </c>
      <c r="Y14" s="55">
        <v>0.65700000000000003</v>
      </c>
      <c r="Z14" s="55">
        <v>0.67</v>
      </c>
      <c r="AA14" s="56">
        <v>0.69</v>
      </c>
    </row>
    <row r="15" spans="1:27" x14ac:dyDescent="0.25">
      <c r="A15" t="s">
        <v>41</v>
      </c>
      <c r="B15" t="s">
        <v>14</v>
      </c>
      <c r="C15" t="str">
        <f t="shared" si="0"/>
        <v>Itálie</v>
      </c>
      <c r="Q15" s="51" t="s">
        <v>12</v>
      </c>
      <c r="R15" s="52">
        <v>36.74</v>
      </c>
      <c r="S15" s="52">
        <v>39.92</v>
      </c>
      <c r="T15" s="52">
        <v>39.19</v>
      </c>
      <c r="U15" s="52">
        <v>38.89</v>
      </c>
      <c r="V15" s="53">
        <v>39.979999999999997</v>
      </c>
      <c r="W15" s="54">
        <v>1</v>
      </c>
      <c r="X15" s="55">
        <v>1.17</v>
      </c>
      <c r="Y15" s="55">
        <v>1.17</v>
      </c>
      <c r="Z15" s="55">
        <v>1.22</v>
      </c>
      <c r="AA15" s="56">
        <v>1.3</v>
      </c>
    </row>
    <row r="16" spans="1:27" x14ac:dyDescent="0.25">
      <c r="A16" t="s">
        <v>42</v>
      </c>
      <c r="B16" t="s">
        <v>15</v>
      </c>
      <c r="C16" t="str">
        <f t="shared" si="0"/>
        <v>Lotyšsko</v>
      </c>
      <c r="H16" t="s">
        <v>113</v>
      </c>
      <c r="I16">
        <v>1</v>
      </c>
      <c r="Q16" s="51" t="s">
        <v>13</v>
      </c>
      <c r="R16" s="52">
        <v>48.96</v>
      </c>
      <c r="S16" s="52">
        <v>53.37</v>
      </c>
      <c r="T16" s="52">
        <v>53.21</v>
      </c>
      <c r="U16" s="52">
        <v>50.68</v>
      </c>
      <c r="V16" s="53">
        <v>51.39</v>
      </c>
      <c r="W16" s="54">
        <v>1.45</v>
      </c>
      <c r="X16" s="55">
        <v>1.69</v>
      </c>
      <c r="Y16" s="55">
        <v>1.69</v>
      </c>
      <c r="Z16" s="55">
        <v>1.66</v>
      </c>
      <c r="AA16" s="56">
        <v>1.72</v>
      </c>
    </row>
    <row r="17" spans="1:27" x14ac:dyDescent="0.25">
      <c r="A17" t="s">
        <v>43</v>
      </c>
      <c r="B17" t="s">
        <v>16</v>
      </c>
      <c r="C17" t="str">
        <f t="shared" si="0"/>
        <v>Litva</v>
      </c>
      <c r="Q17" s="51" t="s">
        <v>14</v>
      </c>
      <c r="R17" s="52">
        <v>42.44</v>
      </c>
      <c r="S17" s="52">
        <v>42.25</v>
      </c>
      <c r="T17" s="52">
        <v>41.61</v>
      </c>
      <c r="U17" s="52">
        <v>39.69</v>
      </c>
      <c r="V17" s="53">
        <v>39.17</v>
      </c>
      <c r="W17" s="54">
        <v>1.21</v>
      </c>
      <c r="X17" s="55">
        <v>1.26</v>
      </c>
      <c r="Y17" s="55">
        <v>1.26</v>
      </c>
      <c r="Z17" s="55">
        <v>1.25</v>
      </c>
      <c r="AA17" s="56">
        <v>1.27</v>
      </c>
    </row>
    <row r="18" spans="1:27" x14ac:dyDescent="0.25">
      <c r="A18" t="s">
        <v>44</v>
      </c>
      <c r="B18" t="s">
        <v>17</v>
      </c>
      <c r="C18" t="str">
        <f t="shared" si="0"/>
        <v>Lucembursko</v>
      </c>
      <c r="Q18" s="51" t="s">
        <v>15</v>
      </c>
      <c r="R18" s="52">
        <v>26.42</v>
      </c>
      <c r="S18" s="52">
        <v>21.56</v>
      </c>
      <c r="T18" s="52">
        <v>23.81</v>
      </c>
      <c r="U18" s="52">
        <v>24.96</v>
      </c>
      <c r="V18" s="53">
        <v>22.61</v>
      </c>
      <c r="W18" s="54">
        <v>0.62</v>
      </c>
      <c r="X18" s="55">
        <v>0.46</v>
      </c>
      <c r="Y18" s="55">
        <v>0.6</v>
      </c>
      <c r="Z18" s="55">
        <v>0.7</v>
      </c>
      <c r="AA18" s="56">
        <v>0.66</v>
      </c>
    </row>
    <row r="19" spans="1:27" x14ac:dyDescent="0.25">
      <c r="A19" t="s">
        <v>18</v>
      </c>
      <c r="B19" t="s">
        <v>18</v>
      </c>
      <c r="C19" t="str">
        <f t="shared" si="0"/>
        <v>Malta</v>
      </c>
      <c r="Q19" s="51" t="s">
        <v>16</v>
      </c>
      <c r="R19" s="52">
        <v>31.31</v>
      </c>
      <c r="S19" s="52">
        <v>31.39</v>
      </c>
      <c r="T19" s="52">
        <v>28.94</v>
      </c>
      <c r="U19" s="52">
        <v>30.58</v>
      </c>
      <c r="V19" s="53">
        <v>29.13</v>
      </c>
      <c r="W19" s="54">
        <v>0.8</v>
      </c>
      <c r="X19" s="55">
        <v>0.84</v>
      </c>
      <c r="Y19" s="55">
        <v>0.79</v>
      </c>
      <c r="Z19" s="55">
        <v>0.91</v>
      </c>
      <c r="AA19" s="56">
        <v>0.9</v>
      </c>
    </row>
    <row r="20" spans="1:27" x14ac:dyDescent="0.25">
      <c r="A20" t="s">
        <v>45</v>
      </c>
      <c r="B20" t="s">
        <v>19</v>
      </c>
      <c r="C20" t="str">
        <f t="shared" si="0"/>
        <v>Nizozemsko</v>
      </c>
      <c r="Q20" s="51" t="s">
        <v>17</v>
      </c>
      <c r="R20" s="52">
        <v>54.66</v>
      </c>
      <c r="S20" s="52">
        <v>54.66</v>
      </c>
      <c r="T20" s="52">
        <v>48.36</v>
      </c>
      <c r="U20" s="52">
        <v>44.52</v>
      </c>
      <c r="V20" s="53">
        <v>44.33</v>
      </c>
      <c r="W20" s="54">
        <v>1.66</v>
      </c>
      <c r="X20" s="55">
        <v>1.74</v>
      </c>
      <c r="Y20" s="55">
        <v>1.51</v>
      </c>
      <c r="Z20" s="55">
        <v>1.43</v>
      </c>
      <c r="AA20" s="56">
        <v>1.46</v>
      </c>
    </row>
    <row r="21" spans="1:27" x14ac:dyDescent="0.25">
      <c r="A21" t="s">
        <v>46</v>
      </c>
      <c r="B21" t="s">
        <v>20</v>
      </c>
      <c r="C21" t="str">
        <f t="shared" si="0"/>
        <v>Polsko</v>
      </c>
      <c r="Q21" s="51" t="s">
        <v>18</v>
      </c>
      <c r="R21" s="52">
        <v>24.52</v>
      </c>
      <c r="S21" s="52">
        <v>23.37</v>
      </c>
      <c r="T21" s="52">
        <v>25.43</v>
      </c>
      <c r="U21" s="52">
        <v>25.23</v>
      </c>
      <c r="V21" s="53">
        <v>27.5</v>
      </c>
      <c r="W21" s="54">
        <v>0.55000000000000004</v>
      </c>
      <c r="X21" s="55">
        <v>0.53</v>
      </c>
      <c r="Y21" s="55">
        <v>0.66</v>
      </c>
      <c r="Z21" s="55">
        <v>0.71</v>
      </c>
      <c r="AA21" s="56">
        <v>0.84</v>
      </c>
    </row>
    <row r="22" spans="1:27" x14ac:dyDescent="0.25">
      <c r="A22" t="s">
        <v>47</v>
      </c>
      <c r="B22" t="s">
        <v>21</v>
      </c>
      <c r="C22" t="str">
        <f t="shared" si="0"/>
        <v>Portugalsko</v>
      </c>
      <c r="Q22" s="51" t="s">
        <v>19</v>
      </c>
      <c r="R22" s="52">
        <v>57.64</v>
      </c>
      <c r="S22" s="52">
        <v>56.73</v>
      </c>
      <c r="T22" s="52">
        <v>57.8</v>
      </c>
      <c r="U22" s="52">
        <v>60.59</v>
      </c>
      <c r="V22" s="53">
        <v>63.33</v>
      </c>
      <c r="W22" s="54">
        <v>1.77</v>
      </c>
      <c r="X22" s="55">
        <v>1.82</v>
      </c>
      <c r="Y22" s="55">
        <v>1.86</v>
      </c>
      <c r="Z22" s="55">
        <v>2.0299999999999998</v>
      </c>
      <c r="AA22" s="56">
        <v>2.16</v>
      </c>
    </row>
    <row r="23" spans="1:27" x14ac:dyDescent="0.25">
      <c r="A23" t="s">
        <v>48</v>
      </c>
      <c r="B23" t="s">
        <v>22</v>
      </c>
      <c r="C23" t="str">
        <f t="shared" si="0"/>
        <v>Rumunsko</v>
      </c>
      <c r="Q23" s="51" t="s">
        <v>20</v>
      </c>
      <c r="R23" s="52">
        <v>25.87</v>
      </c>
      <c r="S23" s="52">
        <v>26.99</v>
      </c>
      <c r="T23" s="52">
        <v>27.59</v>
      </c>
      <c r="U23" s="52">
        <v>26.57</v>
      </c>
      <c r="V23" s="53">
        <v>29.13</v>
      </c>
      <c r="W23" s="54">
        <v>0.6</v>
      </c>
      <c r="X23" s="55">
        <v>0.67</v>
      </c>
      <c r="Y23" s="55">
        <v>0.74</v>
      </c>
      <c r="Z23" s="55">
        <v>0.76</v>
      </c>
      <c r="AA23" s="56">
        <v>0.9</v>
      </c>
    </row>
    <row r="24" spans="1:27" x14ac:dyDescent="0.25">
      <c r="A24" t="s">
        <v>56</v>
      </c>
      <c r="B24" t="s">
        <v>55</v>
      </c>
      <c r="C24" t="str">
        <f t="shared" si="0"/>
        <v>Slovensko</v>
      </c>
      <c r="Q24" s="51" t="s">
        <v>21</v>
      </c>
      <c r="R24" s="52">
        <v>50.31</v>
      </c>
      <c r="S24" s="52">
        <v>52.08</v>
      </c>
      <c r="T24" s="52">
        <v>50.51</v>
      </c>
      <c r="U24" s="52">
        <v>46.93</v>
      </c>
      <c r="V24" s="53">
        <v>45.41</v>
      </c>
      <c r="W24" s="54">
        <v>1.5</v>
      </c>
      <c r="X24" s="55">
        <v>1.64</v>
      </c>
      <c r="Y24" s="55">
        <v>1.59</v>
      </c>
      <c r="Z24" s="55">
        <v>1.52</v>
      </c>
      <c r="AA24" s="56">
        <v>1.5</v>
      </c>
    </row>
    <row r="25" spans="1:27" x14ac:dyDescent="0.25">
      <c r="A25" t="s">
        <v>49</v>
      </c>
      <c r="B25" t="s">
        <v>23</v>
      </c>
      <c r="C25" t="str">
        <f t="shared" si="0"/>
        <v>Slovinsko</v>
      </c>
      <c r="Q25" s="51" t="s">
        <v>22</v>
      </c>
      <c r="R25" s="52">
        <v>25.33</v>
      </c>
      <c r="S25" s="52">
        <v>21.82</v>
      </c>
      <c r="T25" s="52">
        <v>20.04</v>
      </c>
      <c r="U25" s="52">
        <v>19.600000000000001</v>
      </c>
      <c r="V25" s="53">
        <v>18</v>
      </c>
      <c r="W25" s="54">
        <v>0.57999999999999996</v>
      </c>
      <c r="X25" s="55">
        <v>0.47</v>
      </c>
      <c r="Y25" s="55">
        <v>0.46</v>
      </c>
      <c r="Z25" s="55">
        <v>0.5</v>
      </c>
      <c r="AA25" s="56">
        <v>0.49</v>
      </c>
    </row>
    <row r="26" spans="1:27" x14ac:dyDescent="0.25">
      <c r="A26" t="s">
        <v>50</v>
      </c>
      <c r="B26" t="s">
        <v>24</v>
      </c>
      <c r="C26" t="str">
        <f t="shared" si="0"/>
        <v>Španělsko</v>
      </c>
      <c r="Q26" s="51" t="s">
        <v>112</v>
      </c>
      <c r="R26" s="52">
        <v>22.34</v>
      </c>
      <c r="S26" s="52">
        <v>22.08</v>
      </c>
      <c r="T26" s="52">
        <v>24.62</v>
      </c>
      <c r="U26" s="52">
        <v>24.42</v>
      </c>
      <c r="V26" s="53">
        <v>26.95</v>
      </c>
      <c r="W26" s="54">
        <v>0.47</v>
      </c>
      <c r="X26" s="55">
        <v>0.48</v>
      </c>
      <c r="Y26" s="55">
        <v>0.63</v>
      </c>
      <c r="Z26" s="55">
        <v>0.68</v>
      </c>
      <c r="AA26" s="56">
        <v>0.82</v>
      </c>
    </row>
    <row r="27" spans="1:27" x14ac:dyDescent="0.25">
      <c r="A27" t="s">
        <v>51</v>
      </c>
      <c r="B27" t="s">
        <v>25</v>
      </c>
      <c r="C27" t="str">
        <f t="shared" si="0"/>
        <v>Švédsko</v>
      </c>
      <c r="Q27" s="51" t="s">
        <v>23</v>
      </c>
      <c r="R27" s="52">
        <v>54.66</v>
      </c>
      <c r="S27" s="52">
        <v>57.51</v>
      </c>
      <c r="T27" s="52">
        <v>64.27</v>
      </c>
      <c r="U27" s="52">
        <v>72.38</v>
      </c>
      <c r="V27" s="53">
        <v>80.7</v>
      </c>
      <c r="W27" s="54">
        <v>1.66</v>
      </c>
      <c r="X27" s="55">
        <v>1.85</v>
      </c>
      <c r="Y27" s="55">
        <v>2.1</v>
      </c>
      <c r="Z27" s="55">
        <v>2.4700000000000002</v>
      </c>
      <c r="AA27" s="56">
        <v>2.8</v>
      </c>
    </row>
    <row r="28" spans="1:27" x14ac:dyDescent="0.25">
      <c r="A28" t="s">
        <v>54</v>
      </c>
      <c r="B28" t="s">
        <v>26</v>
      </c>
      <c r="C28" t="str">
        <f t="shared" si="0"/>
        <v>Spojené království</v>
      </c>
      <c r="Q28" s="51" t="s">
        <v>24</v>
      </c>
      <c r="R28" s="52">
        <v>46.24</v>
      </c>
      <c r="S28" s="52">
        <v>45.61</v>
      </c>
      <c r="T28" s="52">
        <v>45.39</v>
      </c>
      <c r="U28" s="52">
        <v>42.64</v>
      </c>
      <c r="V28" s="53">
        <v>39.979999999999997</v>
      </c>
      <c r="W28" s="54">
        <v>1.35</v>
      </c>
      <c r="X28" s="55">
        <v>1.39</v>
      </c>
      <c r="Y28" s="55">
        <v>1.4</v>
      </c>
      <c r="Z28" s="55">
        <v>1.36</v>
      </c>
      <c r="AA28" s="56">
        <v>1.3</v>
      </c>
    </row>
    <row r="29" spans="1:27" x14ac:dyDescent="0.25">
      <c r="Q29" s="51" t="s">
        <v>25</v>
      </c>
      <c r="R29" s="52">
        <v>100</v>
      </c>
      <c r="S29" s="52">
        <v>100</v>
      </c>
      <c r="T29" s="52">
        <v>99.06</v>
      </c>
      <c r="U29" s="52">
        <v>97.03</v>
      </c>
      <c r="V29" s="53">
        <v>97.26</v>
      </c>
      <c r="W29" s="54">
        <v>3.7</v>
      </c>
      <c r="X29" s="55">
        <v>3.62</v>
      </c>
      <c r="Y29" s="55">
        <v>3.39</v>
      </c>
      <c r="Z29" s="55">
        <v>3.39</v>
      </c>
      <c r="AA29" s="56">
        <v>3.41</v>
      </c>
    </row>
    <row r="30" spans="1:27" x14ac:dyDescent="0.25">
      <c r="Q30" s="57" t="s">
        <v>26</v>
      </c>
      <c r="R30" s="58">
        <v>57.1</v>
      </c>
      <c r="S30" s="58">
        <v>56.73</v>
      </c>
      <c r="T30" s="58">
        <v>55.37</v>
      </c>
      <c r="U30" s="58">
        <v>53.89</v>
      </c>
      <c r="V30" s="59">
        <v>51.39</v>
      </c>
      <c r="W30" s="60">
        <v>1.75</v>
      </c>
      <c r="X30" s="61">
        <v>1.82</v>
      </c>
      <c r="Y30" s="61">
        <v>1.77</v>
      </c>
      <c r="Z30" s="61">
        <v>1.78</v>
      </c>
      <c r="AA30" s="62">
        <v>1.72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>
    <tabColor theme="0" tint="-0.14999847407452621"/>
  </sheetPr>
  <dimension ref="A1:H43"/>
  <sheetViews>
    <sheetView topLeftCell="A9" workbookViewId="0">
      <selection activeCell="D16" sqref="D16:E43"/>
    </sheetView>
  </sheetViews>
  <sheetFormatPr defaultRowHeight="15" x14ac:dyDescent="0.25"/>
  <cols>
    <col min="2" max="2" width="48.28515625" customWidth="1"/>
  </cols>
  <sheetData>
    <row r="1" spans="1:8" x14ac:dyDescent="0.25">
      <c r="B1" t="s">
        <v>32</v>
      </c>
      <c r="C1">
        <v>2010</v>
      </c>
      <c r="D1">
        <v>2011</v>
      </c>
      <c r="E1">
        <v>2012</v>
      </c>
      <c r="F1">
        <v>2013</v>
      </c>
      <c r="G1">
        <v>2014</v>
      </c>
      <c r="H1">
        <v>2015</v>
      </c>
    </row>
    <row r="2" spans="1:8" x14ac:dyDescent="0.25">
      <c r="A2" t="s">
        <v>709</v>
      </c>
      <c r="B2" t="s">
        <v>125</v>
      </c>
      <c r="C2" s="123">
        <f ca="1">VLOOKUP($B$1,INDIRECT($A2),C$1-1993,0)/9</f>
        <v>4.9215335498884789</v>
      </c>
      <c r="D2" s="123">
        <f t="shared" ref="D2:H10" ca="1" si="0">VLOOKUP($B$1,INDIRECT($A2),D$1-1993,0)/9</f>
        <v>4.9332318530801853</v>
      </c>
      <c r="E2" s="123">
        <f t="shared" ca="1" si="0"/>
        <v>4.9989467286729798</v>
      </c>
      <c r="F2" s="123">
        <f t="shared" ca="1" si="0"/>
        <v>5.4837995247438007</v>
      </c>
      <c r="G2" s="123">
        <f t="shared" ca="1" si="0"/>
        <v>6.122956778706361</v>
      </c>
      <c r="H2" s="123">
        <f t="shared" ca="1" si="0"/>
        <v>6.5232436214256024</v>
      </c>
    </row>
    <row r="3" spans="1:8" x14ac:dyDescent="0.25">
      <c r="A3" t="s">
        <v>710</v>
      </c>
      <c r="B3" t="s">
        <v>126</v>
      </c>
      <c r="C3" s="123">
        <f t="shared" ref="C3:C10" ca="1" si="1">VLOOKUP($B$1,INDIRECT($A3),C$1-1993,0)/9</f>
        <v>3.4994760729782728</v>
      </c>
      <c r="D3" s="123">
        <f t="shared" ca="1" si="0"/>
        <v>3.5094069757146702</v>
      </c>
      <c r="E3" s="123">
        <f t="shared" ca="1" si="0"/>
        <v>3.6727566031649639</v>
      </c>
      <c r="F3" s="123">
        <f t="shared" ca="1" si="0"/>
        <v>3.6963912041549825</v>
      </c>
      <c r="G3" s="123">
        <f t="shared" ca="1" si="0"/>
        <v>3.7377603115661935</v>
      </c>
      <c r="H3" s="123">
        <f t="shared" ca="1" si="0"/>
        <v>3.8087678955775095</v>
      </c>
    </row>
    <row r="4" spans="1:8" x14ac:dyDescent="0.25">
      <c r="A4" t="s">
        <v>711</v>
      </c>
      <c r="B4" t="s">
        <v>127</v>
      </c>
      <c r="C4" s="123">
        <f t="shared" ca="1" si="1"/>
        <v>6.9084412595223181</v>
      </c>
      <c r="D4" s="123">
        <f t="shared" ca="1" si="0"/>
        <v>7.0231209921820685</v>
      </c>
      <c r="E4" s="123">
        <f t="shared" ca="1" si="0"/>
        <v>7.0909285869339875</v>
      </c>
      <c r="F4" s="123">
        <f t="shared" ca="1" si="0"/>
        <v>6.5613300845919342</v>
      </c>
      <c r="G4" s="123">
        <f t="shared" ca="1" si="0"/>
        <v>6.1778680258381833</v>
      </c>
      <c r="H4" s="123">
        <f t="shared" ca="1" si="0"/>
        <v>5.8755969959777623</v>
      </c>
    </row>
    <row r="5" spans="1:8" x14ac:dyDescent="0.25">
      <c r="A5" t="s">
        <v>712</v>
      </c>
      <c r="B5" t="s">
        <v>128</v>
      </c>
      <c r="C5" s="123">
        <f t="shared" ca="1" si="1"/>
        <v>5.0649691389062541</v>
      </c>
      <c r="D5" s="123">
        <f t="shared" ca="1" si="0"/>
        <v>5.3397335352508302</v>
      </c>
      <c r="E5" s="123">
        <f t="shared" ca="1" si="0"/>
        <v>5.3143517907400941</v>
      </c>
      <c r="F5" s="123">
        <f t="shared" ca="1" si="0"/>
        <v>5.315126944929335</v>
      </c>
      <c r="G5" s="123">
        <f t="shared" ca="1" si="0"/>
        <v>5.3143083449568778</v>
      </c>
      <c r="H5" s="123">
        <f t="shared" ca="1" si="0"/>
        <v>5.7479174894557481</v>
      </c>
    </row>
    <row r="6" spans="1:8" x14ac:dyDescent="0.25">
      <c r="A6" t="s">
        <v>713</v>
      </c>
      <c r="B6" t="s">
        <v>129</v>
      </c>
      <c r="C6" s="123">
        <f t="shared" ca="1" si="1"/>
        <v>2.6389668716128529</v>
      </c>
      <c r="D6" s="123">
        <f t="shared" ca="1" si="0"/>
        <v>4.5951639608594883</v>
      </c>
      <c r="E6" s="123">
        <f t="shared" ca="1" si="0"/>
        <v>2.5806324500898481</v>
      </c>
      <c r="F6" s="123">
        <f t="shared" ca="1" si="0"/>
        <v>2.9413680886090834</v>
      </c>
      <c r="G6" s="123">
        <f t="shared" ca="1" si="0"/>
        <v>2.9255966910357376</v>
      </c>
      <c r="H6" s="123">
        <f t="shared" ca="1" si="0"/>
        <v>2.8532159956681458</v>
      </c>
    </row>
    <row r="7" spans="1:8" x14ac:dyDescent="0.25">
      <c r="A7" t="s">
        <v>714</v>
      </c>
      <c r="B7" t="s">
        <v>651</v>
      </c>
      <c r="C7" s="123">
        <f t="shared" ca="1" si="1"/>
        <v>4.5031663203470558</v>
      </c>
      <c r="D7" s="123">
        <f t="shared" ca="1" si="0"/>
        <v>4.5827044807836996</v>
      </c>
      <c r="E7" s="123">
        <f t="shared" ca="1" si="0"/>
        <v>5.2774026584379161</v>
      </c>
      <c r="F7" s="123">
        <f t="shared" ca="1" si="0"/>
        <v>3.9156316452185913</v>
      </c>
      <c r="G7" s="123">
        <f t="shared" ca="1" si="0"/>
        <v>4.572879853471826</v>
      </c>
      <c r="H7" s="123">
        <f t="shared" ca="1" si="0"/>
        <v>5.4848007531130198</v>
      </c>
    </row>
    <row r="8" spans="1:8" x14ac:dyDescent="0.25">
      <c r="A8" t="s">
        <v>715</v>
      </c>
      <c r="B8" t="s">
        <v>136</v>
      </c>
      <c r="C8" s="123">
        <f t="shared" ca="1" si="1"/>
        <v>2.8928273064284773</v>
      </c>
      <c r="D8" s="123">
        <f t="shared" ca="1" si="0"/>
        <v>2.0113904866940429</v>
      </c>
      <c r="E8" s="123">
        <f t="shared" ca="1" si="0"/>
        <v>2.5707120468382811</v>
      </c>
      <c r="F8" s="123">
        <f t="shared" ca="1" si="0"/>
        <v>2.9319623567380426</v>
      </c>
      <c r="G8" s="123">
        <f t="shared" ca="1" si="0"/>
        <v>4.0578398563079112</v>
      </c>
      <c r="H8" s="123">
        <f t="shared" ca="1" si="0"/>
        <v>3.8521074441765748</v>
      </c>
    </row>
    <row r="9" spans="1:8" x14ac:dyDescent="0.25">
      <c r="A9" t="s">
        <v>716</v>
      </c>
      <c r="B9" t="s">
        <v>130</v>
      </c>
      <c r="C9" s="123">
        <f t="shared" ca="1" si="1"/>
        <v>6.1642065140403028</v>
      </c>
      <c r="D9" s="123">
        <f t="shared" ca="1" si="0"/>
        <v>6.8952158414005282</v>
      </c>
      <c r="E9" s="123">
        <f t="shared" ca="1" si="0"/>
        <v>7.4390216540345575</v>
      </c>
      <c r="F9" s="123">
        <f t="shared" ca="1" si="0"/>
        <v>7.3459723176535858</v>
      </c>
      <c r="G9" s="123">
        <f t="shared" ca="1" si="0"/>
        <v>7.0175629420576975</v>
      </c>
      <c r="H9" s="123">
        <f t="shared" ca="1" si="0"/>
        <v>7.3260997797389074</v>
      </c>
    </row>
    <row r="10" spans="1:8" x14ac:dyDescent="0.25">
      <c r="A10" t="s">
        <v>717</v>
      </c>
      <c r="B10" t="s">
        <v>131</v>
      </c>
      <c r="C10" s="123">
        <f t="shared" ca="1" si="1"/>
        <v>3.8170128800428222</v>
      </c>
      <c r="D10" s="123">
        <f t="shared" ca="1" si="0"/>
        <v>2.7720147123224441</v>
      </c>
      <c r="E10" s="123">
        <f t="shared" ca="1" si="0"/>
        <v>5.4254942275637807</v>
      </c>
      <c r="F10" s="123">
        <f t="shared" ca="1" si="0"/>
        <v>2.7065359821941106</v>
      </c>
      <c r="G10" s="123">
        <f t="shared" ca="1" si="0"/>
        <v>3.4212821578755825</v>
      </c>
      <c r="H10" s="123">
        <f t="shared" ca="1" si="0"/>
        <v>3.5777360954349167</v>
      </c>
    </row>
    <row r="11" spans="1:8" x14ac:dyDescent="0.25">
      <c r="A11" t="s">
        <v>718</v>
      </c>
      <c r="B11" t="s">
        <v>67</v>
      </c>
      <c r="C11" s="123">
        <f ca="1">VLOOKUP($B$1,INDIRECT($A11),C$1-1993,0)</f>
        <v>40.410599913766838</v>
      </c>
      <c r="D11" s="123">
        <f t="shared" ref="D11:H11" ca="1" si="2">VLOOKUP($B$1,INDIRECT($A11),D$1-1993,0)</f>
        <v>41.661982838287962</v>
      </c>
      <c r="E11" s="123">
        <f t="shared" ca="1" si="2"/>
        <v>44.370246746476404</v>
      </c>
      <c r="F11" s="123">
        <f t="shared" ca="1" si="2"/>
        <v>40.898118148833468</v>
      </c>
      <c r="G11" s="123">
        <f t="shared" ca="1" si="2"/>
        <v>43.348054961816374</v>
      </c>
      <c r="H11" s="123">
        <f t="shared" ca="1" si="2"/>
        <v>45.049486070568186</v>
      </c>
    </row>
    <row r="15" spans="1:8" x14ac:dyDescent="0.25">
      <c r="B15" s="97"/>
      <c r="D15" s="10" t="s">
        <v>655</v>
      </c>
      <c r="G15" s="10" t="s">
        <v>654</v>
      </c>
    </row>
    <row r="16" spans="1:8" x14ac:dyDescent="0.25">
      <c r="B16" s="97"/>
      <c r="D16" s="17">
        <v>1</v>
      </c>
      <c r="E16" s="103" t="s">
        <v>28</v>
      </c>
      <c r="G16" s="122">
        <v>3</v>
      </c>
    </row>
    <row r="17" spans="2:5" x14ac:dyDescent="0.25">
      <c r="D17" s="20">
        <v>2</v>
      </c>
      <c r="E17" s="106" t="s">
        <v>29</v>
      </c>
    </row>
    <row r="18" spans="2:5" x14ac:dyDescent="0.25">
      <c r="D18" s="20">
        <v>3</v>
      </c>
      <c r="E18" s="106" t="s">
        <v>32</v>
      </c>
    </row>
    <row r="19" spans="2:5" x14ac:dyDescent="0.25">
      <c r="D19" s="20">
        <v>4</v>
      </c>
      <c r="E19" s="106" t="s">
        <v>33</v>
      </c>
    </row>
    <row r="20" spans="2:5" x14ac:dyDescent="0.25">
      <c r="D20" s="20">
        <v>5</v>
      </c>
      <c r="E20" s="106" t="s">
        <v>34</v>
      </c>
    </row>
    <row r="21" spans="2:5" x14ac:dyDescent="0.25">
      <c r="D21" s="20">
        <v>6</v>
      </c>
      <c r="E21" s="106" t="s">
        <v>35</v>
      </c>
    </row>
    <row r="22" spans="2:5" x14ac:dyDescent="0.25">
      <c r="D22" s="20">
        <v>7</v>
      </c>
      <c r="E22" s="106" t="s">
        <v>36</v>
      </c>
    </row>
    <row r="23" spans="2:5" x14ac:dyDescent="0.25">
      <c r="D23" s="20">
        <v>8</v>
      </c>
      <c r="E23" s="106" t="s">
        <v>30</v>
      </c>
    </row>
    <row r="24" spans="2:5" x14ac:dyDescent="0.25">
      <c r="B24" s="97"/>
      <c r="D24" s="20">
        <v>9</v>
      </c>
      <c r="E24" s="106" t="s">
        <v>40</v>
      </c>
    </row>
    <row r="25" spans="2:5" x14ac:dyDescent="0.25">
      <c r="D25" s="20">
        <v>10</v>
      </c>
      <c r="E25" s="106" t="s">
        <v>41</v>
      </c>
    </row>
    <row r="26" spans="2:5" x14ac:dyDescent="0.25">
      <c r="D26" s="20">
        <v>11</v>
      </c>
      <c r="E26" s="106" t="s">
        <v>31</v>
      </c>
    </row>
    <row r="27" spans="2:5" x14ac:dyDescent="0.25">
      <c r="D27" s="20">
        <v>12</v>
      </c>
      <c r="E27" s="106" t="s">
        <v>43</v>
      </c>
    </row>
    <row r="28" spans="2:5" x14ac:dyDescent="0.25">
      <c r="D28" s="20">
        <v>13</v>
      </c>
      <c r="E28" s="106" t="s">
        <v>42</v>
      </c>
    </row>
    <row r="29" spans="2:5" x14ac:dyDescent="0.25">
      <c r="D29" s="20">
        <v>14</v>
      </c>
      <c r="E29" s="106" t="s">
        <v>44</v>
      </c>
    </row>
    <row r="30" spans="2:5" x14ac:dyDescent="0.25">
      <c r="D30" s="20">
        <v>15</v>
      </c>
      <c r="E30" s="106" t="s">
        <v>39</v>
      </c>
    </row>
    <row r="31" spans="2:5" x14ac:dyDescent="0.25">
      <c r="D31" s="20">
        <v>16</v>
      </c>
      <c r="E31" s="106" t="s">
        <v>18</v>
      </c>
    </row>
    <row r="32" spans="2:5" x14ac:dyDescent="0.25">
      <c r="D32" s="20">
        <v>17</v>
      </c>
      <c r="E32" s="106" t="s">
        <v>37</v>
      </c>
    </row>
    <row r="33" spans="4:5" x14ac:dyDescent="0.25">
      <c r="D33" s="20">
        <v>18</v>
      </c>
      <c r="E33" s="106" t="s">
        <v>45</v>
      </c>
    </row>
    <row r="34" spans="4:5" x14ac:dyDescent="0.25">
      <c r="D34" s="20">
        <v>19</v>
      </c>
      <c r="E34" s="106" t="s">
        <v>46</v>
      </c>
    </row>
    <row r="35" spans="4:5" x14ac:dyDescent="0.25">
      <c r="D35" s="20">
        <v>20</v>
      </c>
      <c r="E35" s="106" t="s">
        <v>47</v>
      </c>
    </row>
    <row r="36" spans="4:5" x14ac:dyDescent="0.25">
      <c r="D36" s="20">
        <v>21</v>
      </c>
      <c r="E36" s="106" t="s">
        <v>27</v>
      </c>
    </row>
    <row r="37" spans="4:5" x14ac:dyDescent="0.25">
      <c r="D37" s="20">
        <v>22</v>
      </c>
      <c r="E37" s="106" t="s">
        <v>48</v>
      </c>
    </row>
    <row r="38" spans="4:5" x14ac:dyDescent="0.25">
      <c r="D38" s="20">
        <v>23</v>
      </c>
      <c r="E38" s="106" t="s">
        <v>38</v>
      </c>
    </row>
    <row r="39" spans="4:5" x14ac:dyDescent="0.25">
      <c r="D39" s="20">
        <v>24</v>
      </c>
      <c r="E39" s="106" t="s">
        <v>56</v>
      </c>
    </row>
    <row r="40" spans="4:5" x14ac:dyDescent="0.25">
      <c r="D40" s="20">
        <v>25</v>
      </c>
      <c r="E40" s="106" t="s">
        <v>49</v>
      </c>
    </row>
    <row r="41" spans="4:5" x14ac:dyDescent="0.25">
      <c r="D41" s="20">
        <v>26</v>
      </c>
      <c r="E41" s="106" t="s">
        <v>54</v>
      </c>
    </row>
    <row r="42" spans="4:5" x14ac:dyDescent="0.25">
      <c r="D42" s="20">
        <v>27</v>
      </c>
      <c r="E42" s="106" t="s">
        <v>50</v>
      </c>
    </row>
    <row r="43" spans="4:5" x14ac:dyDescent="0.25">
      <c r="D43" s="114">
        <v>28</v>
      </c>
      <c r="E43" s="108" t="s">
        <v>51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theme="0" tint="-0.14999847407452621"/>
  </sheetPr>
  <dimension ref="A1:L64"/>
  <sheetViews>
    <sheetView workbookViewId="0">
      <selection activeCell="I20" sqref="I20"/>
    </sheetView>
  </sheetViews>
  <sheetFormatPr defaultRowHeight="15" x14ac:dyDescent="0.25"/>
  <cols>
    <col min="1" max="1" width="13.42578125" customWidth="1"/>
    <col min="2" max="2" width="11.140625" customWidth="1"/>
    <col min="3" max="3" width="12.5703125" customWidth="1"/>
    <col min="4" max="4" width="9.140625" customWidth="1"/>
    <col min="5" max="8" width="9.5703125" bestFit="1" customWidth="1"/>
  </cols>
  <sheetData>
    <row r="1" spans="1:12" x14ac:dyDescent="0.25">
      <c r="A1" s="126"/>
      <c r="B1" s="171" t="s">
        <v>71</v>
      </c>
      <c r="C1" s="172"/>
      <c r="D1" s="173"/>
      <c r="E1" s="174" t="s">
        <v>724</v>
      </c>
      <c r="F1" s="175"/>
      <c r="G1" s="175"/>
      <c r="H1" s="176"/>
      <c r="I1" s="174" t="s">
        <v>725</v>
      </c>
      <c r="J1" s="175"/>
      <c r="K1" s="175"/>
      <c r="L1" s="176"/>
    </row>
    <row r="2" spans="1:12" ht="15.75" thickBot="1" x14ac:dyDescent="0.3">
      <c r="A2" s="129"/>
      <c r="B2" s="130">
        <v>2013</v>
      </c>
      <c r="C2" s="131">
        <v>2014</v>
      </c>
      <c r="D2" s="132">
        <v>2015</v>
      </c>
      <c r="E2" s="169" t="s">
        <v>719</v>
      </c>
      <c r="F2" s="8" t="s">
        <v>720</v>
      </c>
      <c r="G2" s="8" t="s">
        <v>721</v>
      </c>
      <c r="H2" s="9" t="s">
        <v>722</v>
      </c>
      <c r="I2" s="169" t="s">
        <v>719</v>
      </c>
      <c r="J2" s="8" t="s">
        <v>720</v>
      </c>
      <c r="K2" s="8" t="s">
        <v>721</v>
      </c>
      <c r="L2" s="9" t="s">
        <v>722</v>
      </c>
    </row>
    <row r="3" spans="1:12" x14ac:dyDescent="0.25">
      <c r="A3" s="127" t="s">
        <v>33</v>
      </c>
      <c r="B3" s="124">
        <v>80.640488655522589</v>
      </c>
      <c r="C3" s="124">
        <v>80.193200678272063</v>
      </c>
      <c r="D3" s="125">
        <v>79.867133486466784</v>
      </c>
      <c r="E3" s="166">
        <f t="shared" ref="E3:E29" si="0">VLOOKUP($A3,$A$36:$E$63,3,0)</f>
        <v>496.13088138357119</v>
      </c>
      <c r="F3" s="124">
        <f t="shared" ref="F3:F29" si="1">VLOOKUP($A3,$A$36:$E$63,2,0)</f>
        <v>500.02675662541617</v>
      </c>
      <c r="G3" s="124">
        <f t="shared" ref="G3:G29" si="2">VLOOKUP($A3,$A$36:$E$63,4,0)</f>
        <v>498.47420142947112</v>
      </c>
      <c r="H3" s="125">
        <f t="shared" ref="H3:H29" si="3">VLOOKUP($A3,$A$36:$E$63,5,0)</f>
        <v>498.21061314615281</v>
      </c>
      <c r="I3" s="166">
        <f>_xlfn.RANK.AVG(E3,E$3:E$29)</f>
        <v>10</v>
      </c>
      <c r="J3" s="124">
        <f t="shared" ref="J3:L3" si="4">_xlfn.RANK.AVG(F3,F$3:F$29)</f>
        <v>10</v>
      </c>
      <c r="K3" s="124">
        <f t="shared" si="4"/>
        <v>14</v>
      </c>
      <c r="L3" s="125">
        <f t="shared" si="4"/>
        <v>13</v>
      </c>
    </row>
    <row r="4" spans="1:12" x14ac:dyDescent="0.25">
      <c r="A4" s="127" t="s">
        <v>35</v>
      </c>
      <c r="B4" s="13">
        <v>79.428597775665864</v>
      </c>
      <c r="C4" s="13">
        <v>80.341919473457025</v>
      </c>
      <c r="D4" s="14">
        <v>79.669392774622864</v>
      </c>
      <c r="E4" s="66">
        <f t="shared" si="0"/>
        <v>524.02166969350048</v>
      </c>
      <c r="F4" s="13">
        <f t="shared" si="1"/>
        <v>518.75033528296819</v>
      </c>
      <c r="G4" s="13">
        <f t="shared" si="2"/>
        <v>545.4419399878692</v>
      </c>
      <c r="H4" s="14">
        <f t="shared" si="3"/>
        <v>529.40464832144596</v>
      </c>
      <c r="I4" s="66">
        <f t="shared" ref="I4:I29" si="5">_xlfn.RANK.AVG(E4,E$3:E$29)</f>
        <v>1</v>
      </c>
      <c r="J4" s="13">
        <f t="shared" ref="J4:J29" si="6">_xlfn.RANK.AVG(F4,F$3:F$29)</f>
        <v>3</v>
      </c>
      <c r="K4" s="13">
        <f t="shared" ref="K4:K29" si="7">_xlfn.RANK.AVG(G4,G$3:G$29)</f>
        <v>1</v>
      </c>
      <c r="L4" s="14">
        <f t="shared" ref="L4:L29" si="8">_xlfn.RANK.AVG(H4,H$3:H$29)</f>
        <v>1</v>
      </c>
    </row>
    <row r="5" spans="1:12" x14ac:dyDescent="0.25">
      <c r="A5" s="127" t="s">
        <v>51</v>
      </c>
      <c r="B5" s="13">
        <v>79.418865992745765</v>
      </c>
      <c r="C5" s="13">
        <v>77.489730094425198</v>
      </c>
      <c r="D5" s="14">
        <v>77.265073774921632</v>
      </c>
      <c r="E5" s="66">
        <f t="shared" si="0"/>
        <v>483.33500557419433</v>
      </c>
      <c r="F5" s="13">
        <f t="shared" si="1"/>
        <v>478.26063590301101</v>
      </c>
      <c r="G5" s="13">
        <f t="shared" si="2"/>
        <v>484.79896580901163</v>
      </c>
      <c r="H5" s="14">
        <f t="shared" si="3"/>
        <v>482.13153576207236</v>
      </c>
      <c r="I5" s="66">
        <f t="shared" si="5"/>
        <v>20</v>
      </c>
      <c r="J5" s="13">
        <f t="shared" si="6"/>
        <v>21</v>
      </c>
      <c r="K5" s="13">
        <f t="shared" si="7"/>
        <v>22</v>
      </c>
      <c r="L5" s="14">
        <f t="shared" si="8"/>
        <v>22</v>
      </c>
    </row>
    <row r="6" spans="1:12" x14ac:dyDescent="0.25">
      <c r="A6" s="127" t="s">
        <v>45</v>
      </c>
      <c r="B6" s="13">
        <v>66.359530491799632</v>
      </c>
      <c r="C6" s="13">
        <v>69.306621572461083</v>
      </c>
      <c r="D6" s="14">
        <v>68.469817361616748</v>
      </c>
      <c r="E6" s="66">
        <f t="shared" si="0"/>
        <v>511.22996524542071</v>
      </c>
      <c r="F6" s="13">
        <f t="shared" si="1"/>
        <v>522.97175819268443</v>
      </c>
      <c r="G6" s="13">
        <f t="shared" si="2"/>
        <v>522.05582172580455</v>
      </c>
      <c r="H6" s="14">
        <f t="shared" si="3"/>
        <v>518.75251505463655</v>
      </c>
      <c r="I6" s="66">
        <f t="shared" si="5"/>
        <v>5</v>
      </c>
      <c r="J6" s="13">
        <f t="shared" si="6"/>
        <v>1</v>
      </c>
      <c r="K6" s="13">
        <f t="shared" si="7"/>
        <v>5</v>
      </c>
      <c r="L6" s="14">
        <f t="shared" si="8"/>
        <v>4</v>
      </c>
    </row>
    <row r="7" spans="1:12" x14ac:dyDescent="0.25">
      <c r="A7" s="127" t="s">
        <v>40</v>
      </c>
      <c r="B7" s="13">
        <v>64.469579401197322</v>
      </c>
      <c r="C7" s="13">
        <v>64.988866995196247</v>
      </c>
      <c r="D7" s="14">
        <v>64.653612256787653</v>
      </c>
      <c r="E7" s="66">
        <f t="shared" si="0"/>
        <v>523.17321024093974</v>
      </c>
      <c r="F7" s="13">
        <f t="shared" si="1"/>
        <v>501.49746019665224</v>
      </c>
      <c r="G7" s="13">
        <f t="shared" si="2"/>
        <v>522.00395919667244</v>
      </c>
      <c r="H7" s="14">
        <f t="shared" si="3"/>
        <v>515.55820987808818</v>
      </c>
      <c r="I7" s="66">
        <f t="shared" si="5"/>
        <v>2</v>
      </c>
      <c r="J7" s="13">
        <f t="shared" si="6"/>
        <v>8</v>
      </c>
      <c r="K7" s="13">
        <f t="shared" si="7"/>
        <v>6</v>
      </c>
      <c r="L7" s="14">
        <f t="shared" si="8"/>
        <v>5</v>
      </c>
    </row>
    <row r="8" spans="1:12" x14ac:dyDescent="0.25">
      <c r="A8" s="127" t="s">
        <v>54</v>
      </c>
      <c r="B8" s="13">
        <v>63.638562877097975</v>
      </c>
      <c r="C8" s="13">
        <v>61.668256621195447</v>
      </c>
      <c r="D8" s="14">
        <v>65.840034578333999</v>
      </c>
      <c r="E8" s="66">
        <f t="shared" si="0"/>
        <v>499.32311513034915</v>
      </c>
      <c r="F8" s="13">
        <f t="shared" si="1"/>
        <v>493.93423089630699</v>
      </c>
      <c r="G8" s="13">
        <f t="shared" si="2"/>
        <v>514.12932105488142</v>
      </c>
      <c r="H8" s="14">
        <f t="shared" si="3"/>
        <v>502.4622223605125</v>
      </c>
      <c r="I8" s="66">
        <f t="shared" si="5"/>
        <v>9</v>
      </c>
      <c r="J8" s="13">
        <f t="shared" si="6"/>
        <v>13</v>
      </c>
      <c r="K8" s="13">
        <f t="shared" si="7"/>
        <v>8</v>
      </c>
      <c r="L8" s="14">
        <f t="shared" si="8"/>
        <v>8</v>
      </c>
    </row>
    <row r="9" spans="1:12" x14ac:dyDescent="0.25">
      <c r="A9" s="127" t="s">
        <v>27</v>
      </c>
      <c r="B9" s="13">
        <v>61.071906141452878</v>
      </c>
      <c r="C9" s="13">
        <v>62.026017387114507</v>
      </c>
      <c r="D9" s="14">
        <v>63.784302374555395</v>
      </c>
      <c r="E9" s="66">
        <f t="shared" si="0"/>
        <v>489.60933538438547</v>
      </c>
      <c r="F9" s="13">
        <f t="shared" si="1"/>
        <v>505.54074324980098</v>
      </c>
      <c r="G9" s="13">
        <f t="shared" si="2"/>
        <v>505.78124706763589</v>
      </c>
      <c r="H9" s="14">
        <f t="shared" si="3"/>
        <v>500.31044190060743</v>
      </c>
      <c r="I9" s="66">
        <f t="shared" si="5"/>
        <v>13</v>
      </c>
      <c r="J9" s="13">
        <f t="shared" si="6"/>
        <v>7</v>
      </c>
      <c r="K9" s="13">
        <f t="shared" si="7"/>
        <v>10</v>
      </c>
      <c r="L9" s="14">
        <f t="shared" si="8"/>
        <v>9</v>
      </c>
    </row>
    <row r="10" spans="1:12" x14ac:dyDescent="0.25">
      <c r="A10" s="127" t="s">
        <v>36</v>
      </c>
      <c r="B10" s="13">
        <v>65.165399617218725</v>
      </c>
      <c r="C10" s="13">
        <v>64.715598778620475</v>
      </c>
      <c r="D10" s="14">
        <v>63.204672189940069</v>
      </c>
      <c r="E10" s="66">
        <f t="shared" si="0"/>
        <v>505.48148337801268</v>
      </c>
      <c r="F10" s="13">
        <f t="shared" si="1"/>
        <v>494.98467432063018</v>
      </c>
      <c r="G10" s="13">
        <f t="shared" si="2"/>
        <v>498.97089415147144</v>
      </c>
      <c r="H10" s="14">
        <f t="shared" si="3"/>
        <v>499.8123506167048</v>
      </c>
      <c r="I10" s="66">
        <f t="shared" si="5"/>
        <v>8</v>
      </c>
      <c r="J10" s="13">
        <f t="shared" si="6"/>
        <v>12</v>
      </c>
      <c r="K10" s="13">
        <f t="shared" si="7"/>
        <v>13</v>
      </c>
      <c r="L10" s="14">
        <f t="shared" si="8"/>
        <v>11</v>
      </c>
    </row>
    <row r="11" spans="1:12" x14ac:dyDescent="0.25">
      <c r="A11" s="127" t="s">
        <v>37</v>
      </c>
      <c r="B11" s="13">
        <v>62.242006556229043</v>
      </c>
      <c r="C11" s="13">
        <v>63.444411477722461</v>
      </c>
      <c r="D11" s="14">
        <v>61.938270339278787</v>
      </c>
      <c r="E11" s="66">
        <f t="shared" si="0"/>
        <v>507.67652976553006</v>
      </c>
      <c r="F11" s="13">
        <f t="shared" si="1"/>
        <v>513.52505581992659</v>
      </c>
      <c r="G11" s="13">
        <f t="shared" si="2"/>
        <v>524.12079925700255</v>
      </c>
      <c r="H11" s="14">
        <f t="shared" si="3"/>
        <v>515.10746161415307</v>
      </c>
      <c r="I11" s="66">
        <f t="shared" si="5"/>
        <v>7</v>
      </c>
      <c r="J11" s="13">
        <f t="shared" si="6"/>
        <v>6</v>
      </c>
      <c r="K11" s="13">
        <f t="shared" si="7"/>
        <v>4</v>
      </c>
      <c r="L11" s="14">
        <f t="shared" si="8"/>
        <v>6</v>
      </c>
    </row>
    <row r="12" spans="1:12" x14ac:dyDescent="0.25">
      <c r="A12" s="127" t="s">
        <v>44</v>
      </c>
      <c r="B12" s="13">
        <v>53.964050488571758</v>
      </c>
      <c r="C12" s="13">
        <v>53.400788943527317</v>
      </c>
      <c r="D12" s="14">
        <v>58.497547471720949</v>
      </c>
      <c r="E12" s="66">
        <f t="shared" si="0"/>
        <v>487.80704283398745</v>
      </c>
      <c r="F12" s="13">
        <f t="shared" si="1"/>
        <v>489.84509803720647</v>
      </c>
      <c r="G12" s="13">
        <f t="shared" si="2"/>
        <v>491.21517567046692</v>
      </c>
      <c r="H12" s="14">
        <f t="shared" si="3"/>
        <v>489.62243884722028</v>
      </c>
      <c r="I12" s="66">
        <f t="shared" si="5"/>
        <v>17</v>
      </c>
      <c r="J12" s="13">
        <f t="shared" si="6"/>
        <v>15</v>
      </c>
      <c r="K12" s="13">
        <f t="shared" si="7"/>
        <v>20</v>
      </c>
      <c r="L12" s="14">
        <f t="shared" si="8"/>
        <v>15</v>
      </c>
    </row>
    <row r="13" spans="1:12" x14ac:dyDescent="0.25">
      <c r="A13" s="127" t="s">
        <v>28</v>
      </c>
      <c r="B13" s="13">
        <v>57.315336485514244</v>
      </c>
      <c r="C13" s="13">
        <v>57.195141680669991</v>
      </c>
      <c r="D13" s="14">
        <v>57.302515400492517</v>
      </c>
      <c r="E13" s="66">
        <f t="shared" si="0"/>
        <v>508.61787632103892</v>
      </c>
      <c r="F13" s="13">
        <f t="shared" si="1"/>
        <v>514.52924472735674</v>
      </c>
      <c r="G13" s="13">
        <f t="shared" si="2"/>
        <v>504.86765304656188</v>
      </c>
      <c r="H13" s="14">
        <f t="shared" si="3"/>
        <v>509.33825803165252</v>
      </c>
      <c r="I13" s="66">
        <f t="shared" si="5"/>
        <v>6</v>
      </c>
      <c r="J13" s="13">
        <f t="shared" si="6"/>
        <v>5</v>
      </c>
      <c r="K13" s="13">
        <f t="shared" si="7"/>
        <v>11</v>
      </c>
      <c r="L13" s="14">
        <f t="shared" si="8"/>
        <v>7</v>
      </c>
    </row>
    <row r="14" spans="1:12" x14ac:dyDescent="0.25">
      <c r="A14" s="127" t="s">
        <v>49</v>
      </c>
      <c r="B14" s="13">
        <v>53.158270558648027</v>
      </c>
      <c r="C14" s="13">
        <v>53.227020286566606</v>
      </c>
      <c r="D14" s="14">
        <v>50.330153665842346</v>
      </c>
      <c r="E14" s="66">
        <f t="shared" si="0"/>
        <v>481.3162834916908</v>
      </c>
      <c r="F14" s="13">
        <f t="shared" si="1"/>
        <v>501.12742239096121</v>
      </c>
      <c r="G14" s="13">
        <f t="shared" si="2"/>
        <v>514.14255496615533</v>
      </c>
      <c r="H14" s="14">
        <f t="shared" si="3"/>
        <v>498.86208694960243</v>
      </c>
      <c r="I14" s="66">
        <f t="shared" si="5"/>
        <v>21</v>
      </c>
      <c r="J14" s="13">
        <f t="shared" si="6"/>
        <v>9</v>
      </c>
      <c r="K14" s="13">
        <f t="shared" si="7"/>
        <v>7</v>
      </c>
      <c r="L14" s="14">
        <f t="shared" si="8"/>
        <v>12</v>
      </c>
    </row>
    <row r="15" spans="1:12" x14ac:dyDescent="0.25">
      <c r="A15" s="127" t="s">
        <v>34</v>
      </c>
      <c r="B15" s="13">
        <v>53.148469793644544</v>
      </c>
      <c r="C15" s="13">
        <v>52.405777907717521</v>
      </c>
      <c r="D15" s="14">
        <v>52.084753307856609</v>
      </c>
      <c r="E15" s="66">
        <f t="shared" si="0"/>
        <v>516.29418431307465</v>
      </c>
      <c r="F15" s="13">
        <f t="shared" si="1"/>
        <v>520.54552167679446</v>
      </c>
      <c r="G15" s="13">
        <f t="shared" si="2"/>
        <v>541.40475616409549</v>
      </c>
      <c r="H15" s="14">
        <f t="shared" si="3"/>
        <v>526.08148738465491</v>
      </c>
      <c r="I15" s="66">
        <f t="shared" si="5"/>
        <v>4</v>
      </c>
      <c r="J15" s="13">
        <f t="shared" si="6"/>
        <v>2</v>
      </c>
      <c r="K15" s="13">
        <f t="shared" si="7"/>
        <v>2</v>
      </c>
      <c r="L15" s="14">
        <f t="shared" si="8"/>
        <v>2</v>
      </c>
    </row>
    <row r="16" spans="1:12" x14ac:dyDescent="0.25">
      <c r="A16" s="127" t="s">
        <v>47</v>
      </c>
      <c r="B16" s="13">
        <v>41.304110455735469</v>
      </c>
      <c r="C16" s="13">
        <v>43.267787631171444</v>
      </c>
      <c r="D16" s="14">
        <v>47.735894980462483</v>
      </c>
      <c r="E16" s="66">
        <f t="shared" si="0"/>
        <v>487.75768722258869</v>
      </c>
      <c r="F16" s="13">
        <f t="shared" si="1"/>
        <v>487.06318134390773</v>
      </c>
      <c r="G16" s="13">
        <f t="shared" si="2"/>
        <v>489.2747319815229</v>
      </c>
      <c r="H16" s="14">
        <f t="shared" si="3"/>
        <v>488.03186684933979</v>
      </c>
      <c r="I16" s="66">
        <f t="shared" si="5"/>
        <v>18</v>
      </c>
      <c r="J16" s="13">
        <f t="shared" si="6"/>
        <v>16</v>
      </c>
      <c r="K16" s="13">
        <f t="shared" si="7"/>
        <v>21</v>
      </c>
      <c r="L16" s="14">
        <f t="shared" si="8"/>
        <v>18</v>
      </c>
    </row>
    <row r="17" spans="1:12" x14ac:dyDescent="0.25">
      <c r="A17" s="127" t="s">
        <v>32</v>
      </c>
      <c r="B17" s="13">
        <v>40.898118148833468</v>
      </c>
      <c r="C17" s="13">
        <v>43.348054961816374</v>
      </c>
      <c r="D17" s="14">
        <v>45.049486070568186</v>
      </c>
      <c r="E17" s="66">
        <f t="shared" si="0"/>
        <v>492.88973821147175</v>
      </c>
      <c r="F17" s="13">
        <f t="shared" si="1"/>
        <v>498.9578823176692</v>
      </c>
      <c r="G17" s="13">
        <f t="shared" si="2"/>
        <v>508.29907935425865</v>
      </c>
      <c r="H17" s="14">
        <f t="shared" si="3"/>
        <v>500.0488999611332</v>
      </c>
      <c r="I17" s="66">
        <f t="shared" si="5"/>
        <v>11</v>
      </c>
      <c r="J17" s="13">
        <f t="shared" si="6"/>
        <v>11</v>
      </c>
      <c r="K17" s="13">
        <f t="shared" si="7"/>
        <v>9</v>
      </c>
      <c r="L17" s="14">
        <f t="shared" si="8"/>
        <v>10</v>
      </c>
    </row>
    <row r="18" spans="1:12" x14ac:dyDescent="0.25">
      <c r="A18" s="127" t="s">
        <v>39</v>
      </c>
      <c r="B18" s="13">
        <v>45.909846989335854</v>
      </c>
      <c r="C18" s="13">
        <v>38.590683694061568</v>
      </c>
      <c r="D18" s="14">
        <v>41.883015524446876</v>
      </c>
      <c r="E18" s="66">
        <f t="shared" si="0"/>
        <v>488.46133395845197</v>
      </c>
      <c r="F18" s="13">
        <f t="shared" si="1"/>
        <v>477.04445501548616</v>
      </c>
      <c r="G18" s="13">
        <f t="shared" si="2"/>
        <v>494.3023512216796</v>
      </c>
      <c r="H18" s="14">
        <f t="shared" si="3"/>
        <v>486.60271339853927</v>
      </c>
      <c r="I18" s="66">
        <f t="shared" si="5"/>
        <v>15</v>
      </c>
      <c r="J18" s="13">
        <f t="shared" si="6"/>
        <v>22</v>
      </c>
      <c r="K18" s="13">
        <f t="shared" si="7"/>
        <v>17</v>
      </c>
      <c r="L18" s="14">
        <f t="shared" si="8"/>
        <v>19</v>
      </c>
    </row>
    <row r="19" spans="1:12" x14ac:dyDescent="0.25">
      <c r="A19" s="127" t="s">
        <v>50</v>
      </c>
      <c r="B19" s="13">
        <v>42.320971329049911</v>
      </c>
      <c r="C19" s="13">
        <v>40.905565799729501</v>
      </c>
      <c r="D19" s="14">
        <v>41.097754038375655</v>
      </c>
      <c r="E19" s="66">
        <f t="shared" si="0"/>
        <v>487.93918159778218</v>
      </c>
      <c r="F19" s="13">
        <f t="shared" si="1"/>
        <v>484.31929780195276</v>
      </c>
      <c r="G19" s="13">
        <f t="shared" si="2"/>
        <v>496.44582282445447</v>
      </c>
      <c r="H19" s="14">
        <f t="shared" si="3"/>
        <v>489.56810074139645</v>
      </c>
      <c r="I19" s="66">
        <f t="shared" si="5"/>
        <v>16</v>
      </c>
      <c r="J19" s="13">
        <f t="shared" si="6"/>
        <v>18</v>
      </c>
      <c r="K19" s="13">
        <f t="shared" si="7"/>
        <v>15</v>
      </c>
      <c r="L19" s="14">
        <f t="shared" si="8"/>
        <v>16</v>
      </c>
    </row>
    <row r="20" spans="1:12" x14ac:dyDescent="0.25">
      <c r="A20" s="127" t="s">
        <v>31</v>
      </c>
      <c r="B20" s="13">
        <v>40.821746006495921</v>
      </c>
      <c r="C20" s="13">
        <v>45.337916759438222</v>
      </c>
      <c r="D20" s="14">
        <v>40.227321515263931</v>
      </c>
      <c r="E20" s="66">
        <f t="shared" si="0"/>
        <v>448.9527368961156</v>
      </c>
      <c r="F20" s="13">
        <f t="shared" si="1"/>
        <v>439.69621113930839</v>
      </c>
      <c r="G20" s="13">
        <f t="shared" si="2"/>
        <v>437.67627418839373</v>
      </c>
      <c r="H20" s="14">
        <f t="shared" si="3"/>
        <v>442.10840740793924</v>
      </c>
      <c r="I20" s="66">
        <f t="shared" si="5"/>
        <v>25</v>
      </c>
      <c r="J20" s="13">
        <f t="shared" si="6"/>
        <v>26</v>
      </c>
      <c r="K20" s="13">
        <f t="shared" si="7"/>
        <v>27</v>
      </c>
      <c r="L20" s="14">
        <f t="shared" si="8"/>
        <v>25</v>
      </c>
    </row>
    <row r="21" spans="1:12" x14ac:dyDescent="0.25">
      <c r="A21" s="127" t="s">
        <v>56</v>
      </c>
      <c r="B21" s="13">
        <v>37.678997025936688</v>
      </c>
      <c r="C21" s="13">
        <v>35.559153420493828</v>
      </c>
      <c r="D21" s="14">
        <v>38.789557793257259</v>
      </c>
      <c r="E21" s="66">
        <f t="shared" si="0"/>
        <v>462.76703277016759</v>
      </c>
      <c r="F21" s="13">
        <f t="shared" si="1"/>
        <v>481.6447440063327</v>
      </c>
      <c r="G21" s="13">
        <f t="shared" si="2"/>
        <v>471.19317726606238</v>
      </c>
      <c r="H21" s="14">
        <f t="shared" si="3"/>
        <v>471.86831801418754</v>
      </c>
      <c r="I21" s="66">
        <f t="shared" si="5"/>
        <v>24</v>
      </c>
      <c r="J21" s="13">
        <f t="shared" si="6"/>
        <v>19</v>
      </c>
      <c r="K21" s="13">
        <f t="shared" si="7"/>
        <v>23</v>
      </c>
      <c r="L21" s="14">
        <f t="shared" si="8"/>
        <v>23</v>
      </c>
    </row>
    <row r="22" spans="1:12" x14ac:dyDescent="0.25">
      <c r="A22" s="127" t="s">
        <v>42</v>
      </c>
      <c r="B22" s="13">
        <v>35.864979569731517</v>
      </c>
      <c r="C22" s="13">
        <v>34.587518417071038</v>
      </c>
      <c r="D22" s="14">
        <v>36.328307358888225</v>
      </c>
      <c r="E22" s="66">
        <f t="shared" si="0"/>
        <v>488.69441378943151</v>
      </c>
      <c r="F22" s="13">
        <f t="shared" si="1"/>
        <v>490.57102141135846</v>
      </c>
      <c r="G22" s="13">
        <f t="shared" si="2"/>
        <v>502.18619208774044</v>
      </c>
      <c r="H22" s="14">
        <f t="shared" si="3"/>
        <v>493.81720909617678</v>
      </c>
      <c r="I22" s="66">
        <f t="shared" si="5"/>
        <v>14</v>
      </c>
      <c r="J22" s="13">
        <f t="shared" si="6"/>
        <v>14</v>
      </c>
      <c r="K22" s="13">
        <f t="shared" si="7"/>
        <v>12</v>
      </c>
      <c r="L22" s="14">
        <f t="shared" si="8"/>
        <v>14</v>
      </c>
    </row>
    <row r="23" spans="1:12" x14ac:dyDescent="0.25">
      <c r="A23" s="127" t="s">
        <v>43</v>
      </c>
      <c r="B23" s="13">
        <v>38.966045418610115</v>
      </c>
      <c r="C23" s="13">
        <v>38.314695791561341</v>
      </c>
      <c r="D23" s="14">
        <v>35.417863872950711</v>
      </c>
      <c r="E23" s="66">
        <f t="shared" si="0"/>
        <v>477.30661154996909</v>
      </c>
      <c r="F23" s="13">
        <f t="shared" si="1"/>
        <v>478.8232774333577</v>
      </c>
      <c r="G23" s="13">
        <f t="shared" si="2"/>
        <v>495.70008639690144</v>
      </c>
      <c r="H23" s="14">
        <f t="shared" si="3"/>
        <v>483.94332512674276</v>
      </c>
      <c r="I23" s="66">
        <f t="shared" si="5"/>
        <v>22</v>
      </c>
      <c r="J23" s="13">
        <f t="shared" si="6"/>
        <v>20</v>
      </c>
      <c r="K23" s="13">
        <f t="shared" si="7"/>
        <v>16</v>
      </c>
      <c r="L23" s="14">
        <f t="shared" si="8"/>
        <v>20</v>
      </c>
    </row>
    <row r="24" spans="1:12" x14ac:dyDescent="0.25">
      <c r="A24" s="127" t="s">
        <v>46</v>
      </c>
      <c r="B24" s="13">
        <v>36.292581715274132</v>
      </c>
      <c r="C24" s="13">
        <v>34.970208109247267</v>
      </c>
      <c r="D24" s="14">
        <v>35.244652281143871</v>
      </c>
      <c r="E24" s="66">
        <f t="shared" si="0"/>
        <v>518.18688054864538</v>
      </c>
      <c r="F24" s="13">
        <f t="shared" si="1"/>
        <v>517.50109681796323</v>
      </c>
      <c r="G24" s="13">
        <f t="shared" si="2"/>
        <v>525.81644543817538</v>
      </c>
      <c r="H24" s="14">
        <f t="shared" si="3"/>
        <v>520.5014742682614</v>
      </c>
      <c r="I24" s="66">
        <f t="shared" si="5"/>
        <v>3</v>
      </c>
      <c r="J24" s="13">
        <f t="shared" si="6"/>
        <v>4</v>
      </c>
      <c r="K24" s="13">
        <f t="shared" si="7"/>
        <v>3</v>
      </c>
      <c r="L24" s="14">
        <f t="shared" si="8"/>
        <v>3</v>
      </c>
    </row>
    <row r="25" spans="1:12" x14ac:dyDescent="0.25">
      <c r="A25" s="127" t="s">
        <v>30</v>
      </c>
      <c r="B25" s="13">
        <v>30.834458859447352</v>
      </c>
      <c r="C25" s="13">
        <v>33.187452283067827</v>
      </c>
      <c r="D25" s="14">
        <v>31.434980206875593</v>
      </c>
      <c r="E25" s="66">
        <f t="shared" si="0"/>
        <v>484.56503212569692</v>
      </c>
      <c r="F25" s="13">
        <f t="shared" si="1"/>
        <v>471.13146075925226</v>
      </c>
      <c r="G25" s="13">
        <f t="shared" si="2"/>
        <v>491.35658283423641</v>
      </c>
      <c r="H25" s="14">
        <f t="shared" si="3"/>
        <v>482.35102523972847</v>
      </c>
      <c r="I25" s="66">
        <f t="shared" si="5"/>
        <v>19</v>
      </c>
      <c r="J25" s="13">
        <f t="shared" si="6"/>
        <v>23</v>
      </c>
      <c r="K25" s="13">
        <f t="shared" si="7"/>
        <v>19</v>
      </c>
      <c r="L25" s="14">
        <f t="shared" si="8"/>
        <v>21</v>
      </c>
    </row>
    <row r="26" spans="1:12" x14ac:dyDescent="0.25">
      <c r="A26" s="127" t="s">
        <v>38</v>
      </c>
      <c r="B26" s="13">
        <v>28.029934948656457</v>
      </c>
      <c r="C26" s="13">
        <v>27.70768603201007</v>
      </c>
      <c r="D26" s="14">
        <v>30.901294727078959</v>
      </c>
      <c r="E26" s="66">
        <f t="shared" si="0"/>
        <v>477.19717651791575</v>
      </c>
      <c r="F26" s="13">
        <f t="shared" si="1"/>
        <v>452.97342685890567</v>
      </c>
      <c r="G26" s="13">
        <f t="shared" si="2"/>
        <v>466.7220294888204</v>
      </c>
      <c r="H26" s="14">
        <f t="shared" si="3"/>
        <v>465.63087762188064</v>
      </c>
      <c r="I26" s="66">
        <f t="shared" si="5"/>
        <v>23</v>
      </c>
      <c r="J26" s="13">
        <f t="shared" si="6"/>
        <v>24</v>
      </c>
      <c r="K26" s="13">
        <f t="shared" si="7"/>
        <v>24</v>
      </c>
      <c r="L26" s="14">
        <f t="shared" si="8"/>
        <v>24</v>
      </c>
    </row>
    <row r="27" spans="1:12" x14ac:dyDescent="0.25">
      <c r="A27" s="127" t="s">
        <v>41</v>
      </c>
      <c r="B27" s="13">
        <v>30.205932821518445</v>
      </c>
      <c r="C27" s="13">
        <v>33.112188345963936</v>
      </c>
      <c r="D27" s="14">
        <v>31.872607582595467</v>
      </c>
      <c r="E27" s="66">
        <f t="shared" si="0"/>
        <v>489.75440328485854</v>
      </c>
      <c r="F27" s="13">
        <f t="shared" si="1"/>
        <v>485.32118101256833</v>
      </c>
      <c r="G27" s="13">
        <f t="shared" si="2"/>
        <v>493.54148180496981</v>
      </c>
      <c r="H27" s="14">
        <f t="shared" si="3"/>
        <v>489.53902203413219</v>
      </c>
      <c r="I27" s="66">
        <f t="shared" si="5"/>
        <v>12</v>
      </c>
      <c r="J27" s="13">
        <f t="shared" si="6"/>
        <v>17</v>
      </c>
      <c r="K27" s="13">
        <f t="shared" si="7"/>
        <v>18</v>
      </c>
      <c r="L27" s="14">
        <f t="shared" si="8"/>
        <v>17</v>
      </c>
    </row>
    <row r="28" spans="1:12" x14ac:dyDescent="0.25">
      <c r="A28" s="127" t="s">
        <v>29</v>
      </c>
      <c r="B28" s="13">
        <v>20.643965786358716</v>
      </c>
      <c r="C28" s="13">
        <v>24.603112546271717</v>
      </c>
      <c r="D28" s="14">
        <v>19.218375634929625</v>
      </c>
      <c r="E28" s="66">
        <f t="shared" si="0"/>
        <v>436.12572527866251</v>
      </c>
      <c r="F28" s="13">
        <f t="shared" si="1"/>
        <v>438.73825987741685</v>
      </c>
      <c r="G28" s="13">
        <f t="shared" si="2"/>
        <v>446.4687093761944</v>
      </c>
      <c r="H28" s="14">
        <f t="shared" si="3"/>
        <v>440.4442315107579</v>
      </c>
      <c r="I28" s="66">
        <f t="shared" si="5"/>
        <v>27</v>
      </c>
      <c r="J28" s="13">
        <f t="shared" si="6"/>
        <v>27</v>
      </c>
      <c r="K28" s="13">
        <f t="shared" si="7"/>
        <v>25</v>
      </c>
      <c r="L28" s="14">
        <f t="shared" si="8"/>
        <v>26</v>
      </c>
    </row>
    <row r="29" spans="1:12" ht="15.75" thickBot="1" x14ac:dyDescent="0.3">
      <c r="A29" s="128" t="s">
        <v>48</v>
      </c>
      <c r="B29" s="15">
        <v>23.427238612458638</v>
      </c>
      <c r="C29" s="15">
        <v>19.056197445120681</v>
      </c>
      <c r="D29" s="16">
        <v>18.952267932768002</v>
      </c>
      <c r="E29" s="67">
        <f t="shared" si="0"/>
        <v>437.59948827742232</v>
      </c>
      <c r="F29" s="15">
        <f t="shared" si="1"/>
        <v>444.55424278764349</v>
      </c>
      <c r="G29" s="15">
        <f t="shared" si="2"/>
        <v>438.76805621174987</v>
      </c>
      <c r="H29" s="16">
        <f t="shared" si="3"/>
        <v>440.30726242560519</v>
      </c>
      <c r="I29" s="67">
        <f t="shared" si="5"/>
        <v>26</v>
      </c>
      <c r="J29" s="15">
        <f t="shared" si="6"/>
        <v>25</v>
      </c>
      <c r="K29" s="15">
        <f t="shared" si="7"/>
        <v>26</v>
      </c>
      <c r="L29" s="16">
        <f t="shared" si="8"/>
        <v>27</v>
      </c>
    </row>
    <row r="35" spans="1:5" ht="15.75" thickBot="1" x14ac:dyDescent="0.3"/>
    <row r="36" spans="1:5" ht="15.75" thickBot="1" x14ac:dyDescent="0.3">
      <c r="A36" s="163"/>
      <c r="B36" s="164" t="s">
        <v>719</v>
      </c>
      <c r="C36" s="164" t="s">
        <v>720</v>
      </c>
      <c r="D36" s="164" t="s">
        <v>721</v>
      </c>
      <c r="E36" s="163" t="s">
        <v>722</v>
      </c>
    </row>
    <row r="37" spans="1:5" x14ac:dyDescent="0.25">
      <c r="A37" s="165" t="s">
        <v>35</v>
      </c>
      <c r="B37" s="166">
        <v>518.75033528296819</v>
      </c>
      <c r="C37" s="124">
        <v>524.02166969350048</v>
      </c>
      <c r="D37" s="124">
        <v>545.4419399878692</v>
      </c>
      <c r="E37" s="167">
        <f t="shared" ref="E37:E63" si="9">AVERAGE(B37,C37,D37)</f>
        <v>529.40464832144596</v>
      </c>
    </row>
    <row r="38" spans="1:5" x14ac:dyDescent="0.25">
      <c r="A38" s="165" t="s">
        <v>34</v>
      </c>
      <c r="B38" s="66">
        <v>520.54552167679446</v>
      </c>
      <c r="C38" s="13">
        <v>516.29418431307465</v>
      </c>
      <c r="D38" s="13">
        <v>541.40475616409549</v>
      </c>
      <c r="E38" s="168">
        <f t="shared" si="9"/>
        <v>526.08148738465491</v>
      </c>
    </row>
    <row r="39" spans="1:5" x14ac:dyDescent="0.25">
      <c r="A39" s="165" t="s">
        <v>46</v>
      </c>
      <c r="B39" s="66">
        <v>517.50109681796323</v>
      </c>
      <c r="C39" s="13">
        <v>518.18688054864538</v>
      </c>
      <c r="D39" s="13">
        <v>525.81644543817538</v>
      </c>
      <c r="E39" s="168">
        <f t="shared" si="9"/>
        <v>520.5014742682614</v>
      </c>
    </row>
    <row r="40" spans="1:5" x14ac:dyDescent="0.25">
      <c r="A40" s="165" t="s">
        <v>45</v>
      </c>
      <c r="B40" s="66">
        <v>522.97175819268443</v>
      </c>
      <c r="C40" s="13">
        <v>511.22996524542071</v>
      </c>
      <c r="D40" s="13">
        <v>522.05582172580455</v>
      </c>
      <c r="E40" s="168">
        <f t="shared" si="9"/>
        <v>518.75251505463655</v>
      </c>
    </row>
    <row r="41" spans="1:5" x14ac:dyDescent="0.25">
      <c r="A41" s="165" t="s">
        <v>40</v>
      </c>
      <c r="B41" s="66">
        <v>501.49746019665224</v>
      </c>
      <c r="C41" s="13">
        <v>523.17321024093974</v>
      </c>
      <c r="D41" s="13">
        <v>522.00395919667244</v>
      </c>
      <c r="E41" s="168">
        <f t="shared" si="9"/>
        <v>515.55820987808818</v>
      </c>
    </row>
    <row r="42" spans="1:5" x14ac:dyDescent="0.25">
      <c r="A42" s="165" t="s">
        <v>37</v>
      </c>
      <c r="B42" s="66">
        <v>513.52505581992659</v>
      </c>
      <c r="C42" s="13">
        <v>507.67652976553006</v>
      </c>
      <c r="D42" s="13">
        <v>524.12079925700255</v>
      </c>
      <c r="E42" s="168">
        <f t="shared" si="9"/>
        <v>515.10746161415307</v>
      </c>
    </row>
    <row r="43" spans="1:5" x14ac:dyDescent="0.25">
      <c r="A43" s="165" t="s">
        <v>28</v>
      </c>
      <c r="B43" s="66">
        <v>514.52924472735674</v>
      </c>
      <c r="C43" s="13">
        <v>508.61787632103892</v>
      </c>
      <c r="D43" s="13">
        <v>504.86765304656188</v>
      </c>
      <c r="E43" s="168">
        <f t="shared" si="9"/>
        <v>509.33825803165252</v>
      </c>
    </row>
    <row r="44" spans="1:5" x14ac:dyDescent="0.25">
      <c r="A44" s="165" t="s">
        <v>54</v>
      </c>
      <c r="B44" s="66">
        <v>493.93423089630699</v>
      </c>
      <c r="C44" s="13">
        <v>499.32311513034915</v>
      </c>
      <c r="D44" s="13">
        <v>514.12932105488142</v>
      </c>
      <c r="E44" s="168">
        <f t="shared" si="9"/>
        <v>502.4622223605125</v>
      </c>
    </row>
    <row r="45" spans="1:5" x14ac:dyDescent="0.25">
      <c r="A45" s="165" t="s">
        <v>27</v>
      </c>
      <c r="B45" s="66">
        <v>505.54074324980098</v>
      </c>
      <c r="C45" s="13">
        <v>489.60933538438547</v>
      </c>
      <c r="D45" s="13">
        <v>505.78124706763589</v>
      </c>
      <c r="E45" s="168">
        <f t="shared" si="9"/>
        <v>500.31044190060743</v>
      </c>
    </row>
    <row r="46" spans="1:5" x14ac:dyDescent="0.25">
      <c r="A46" s="165" t="s">
        <v>32</v>
      </c>
      <c r="B46" s="66">
        <v>498.9578823176692</v>
      </c>
      <c r="C46" s="13">
        <v>492.88973821147175</v>
      </c>
      <c r="D46" s="13">
        <v>508.29907935425865</v>
      </c>
      <c r="E46" s="168">
        <f t="shared" si="9"/>
        <v>500.0488999611332</v>
      </c>
    </row>
    <row r="47" spans="1:5" x14ac:dyDescent="0.25">
      <c r="A47" s="165" t="s">
        <v>36</v>
      </c>
      <c r="B47" s="66">
        <v>494.98467432063018</v>
      </c>
      <c r="C47" s="13">
        <v>505.48148337801268</v>
      </c>
      <c r="D47" s="13">
        <v>498.97089415147144</v>
      </c>
      <c r="E47" s="168">
        <f t="shared" si="9"/>
        <v>499.8123506167048</v>
      </c>
    </row>
    <row r="48" spans="1:5" x14ac:dyDescent="0.25">
      <c r="A48" s="165" t="s">
        <v>49</v>
      </c>
      <c r="B48" s="66">
        <v>501.12742239096121</v>
      </c>
      <c r="C48" s="13">
        <v>481.3162834916908</v>
      </c>
      <c r="D48" s="13">
        <v>514.14255496615533</v>
      </c>
      <c r="E48" s="168">
        <f t="shared" si="9"/>
        <v>498.86208694960243</v>
      </c>
    </row>
    <row r="49" spans="1:5" x14ac:dyDescent="0.25">
      <c r="A49" s="165" t="s">
        <v>33</v>
      </c>
      <c r="B49" s="66">
        <v>500.02675662541617</v>
      </c>
      <c r="C49" s="13">
        <v>496.13088138357119</v>
      </c>
      <c r="D49" s="13">
        <v>498.47420142947112</v>
      </c>
      <c r="E49" s="168">
        <f t="shared" si="9"/>
        <v>498.21061314615281</v>
      </c>
    </row>
    <row r="50" spans="1:5" x14ac:dyDescent="0.25">
      <c r="A50" s="165" t="s">
        <v>42</v>
      </c>
      <c r="B50" s="66">
        <v>490.57102141135846</v>
      </c>
      <c r="C50" s="13">
        <v>488.69441378943151</v>
      </c>
      <c r="D50" s="13">
        <v>502.18619208774044</v>
      </c>
      <c r="E50" s="168">
        <f t="shared" si="9"/>
        <v>493.81720909617678</v>
      </c>
    </row>
    <row r="51" spans="1:5" x14ac:dyDescent="0.25">
      <c r="A51" s="165" t="s">
        <v>44</v>
      </c>
      <c r="B51" s="66">
        <v>489.84509803720647</v>
      </c>
      <c r="C51" s="13">
        <v>487.80704283398745</v>
      </c>
      <c r="D51" s="13">
        <v>491.21517567046692</v>
      </c>
      <c r="E51" s="168">
        <f t="shared" si="9"/>
        <v>489.62243884722028</v>
      </c>
    </row>
    <row r="52" spans="1:5" x14ac:dyDescent="0.25">
      <c r="A52" s="165" t="s">
        <v>50</v>
      </c>
      <c r="B52" s="66">
        <v>484.31929780195276</v>
      </c>
      <c r="C52" s="13">
        <v>487.93918159778218</v>
      </c>
      <c r="D52" s="13">
        <v>496.44582282445447</v>
      </c>
      <c r="E52" s="168">
        <f t="shared" si="9"/>
        <v>489.56810074139645</v>
      </c>
    </row>
    <row r="53" spans="1:5" x14ac:dyDescent="0.25">
      <c r="A53" s="165" t="s">
        <v>41</v>
      </c>
      <c r="B53" s="66">
        <v>485.32118101256833</v>
      </c>
      <c r="C53" s="13">
        <v>489.75440328485854</v>
      </c>
      <c r="D53" s="13">
        <v>493.54148180496981</v>
      </c>
      <c r="E53" s="168">
        <f t="shared" si="9"/>
        <v>489.53902203413219</v>
      </c>
    </row>
    <row r="54" spans="1:5" x14ac:dyDescent="0.25">
      <c r="A54" s="165" t="s">
        <v>47</v>
      </c>
      <c r="B54" s="66">
        <v>487.06318134390773</v>
      </c>
      <c r="C54" s="13">
        <v>487.75768722258869</v>
      </c>
      <c r="D54" s="13">
        <v>489.2747319815229</v>
      </c>
      <c r="E54" s="168">
        <f t="shared" si="9"/>
        <v>488.03186684933979</v>
      </c>
    </row>
    <row r="55" spans="1:5" x14ac:dyDescent="0.25">
      <c r="A55" s="165" t="s">
        <v>39</v>
      </c>
      <c r="B55" s="66">
        <v>477.04445501548616</v>
      </c>
      <c r="C55" s="13">
        <v>488.46133395845197</v>
      </c>
      <c r="D55" s="13">
        <v>494.3023512216796</v>
      </c>
      <c r="E55" s="168">
        <f t="shared" si="9"/>
        <v>486.60271339853927</v>
      </c>
    </row>
    <row r="56" spans="1:5" x14ac:dyDescent="0.25">
      <c r="A56" s="165" t="s">
        <v>43</v>
      </c>
      <c r="B56" s="66">
        <v>478.8232774333577</v>
      </c>
      <c r="C56" s="13">
        <v>477.30661154996909</v>
      </c>
      <c r="D56" s="13">
        <v>495.70008639690144</v>
      </c>
      <c r="E56" s="168">
        <f t="shared" si="9"/>
        <v>483.94332512674276</v>
      </c>
    </row>
    <row r="57" spans="1:5" x14ac:dyDescent="0.25">
      <c r="A57" s="165" t="s">
        <v>30</v>
      </c>
      <c r="B57" s="66">
        <v>471.13146075925226</v>
      </c>
      <c r="C57" s="13">
        <v>484.56503212569692</v>
      </c>
      <c r="D57" s="13">
        <v>491.35658283423641</v>
      </c>
      <c r="E57" s="168">
        <f t="shared" si="9"/>
        <v>482.35102523972847</v>
      </c>
    </row>
    <row r="58" spans="1:5" x14ac:dyDescent="0.25">
      <c r="A58" s="165" t="s">
        <v>51</v>
      </c>
      <c r="B58" s="66">
        <v>478.26063590301101</v>
      </c>
      <c r="C58" s="13">
        <v>483.33500557419433</v>
      </c>
      <c r="D58" s="13">
        <v>484.79896580901163</v>
      </c>
      <c r="E58" s="168">
        <f t="shared" si="9"/>
        <v>482.13153576207236</v>
      </c>
    </row>
    <row r="59" spans="1:5" x14ac:dyDescent="0.25">
      <c r="A59" s="165" t="s">
        <v>56</v>
      </c>
      <c r="B59" s="66">
        <v>481.6447440063327</v>
      </c>
      <c r="C59" s="13">
        <v>462.76703277016759</v>
      </c>
      <c r="D59" s="13">
        <v>471.19317726606238</v>
      </c>
      <c r="E59" s="168">
        <f t="shared" si="9"/>
        <v>471.86831801418754</v>
      </c>
    </row>
    <row r="60" spans="1:5" x14ac:dyDescent="0.25">
      <c r="A60" s="165" t="s">
        <v>38</v>
      </c>
      <c r="B60" s="66">
        <v>452.97342685890567</v>
      </c>
      <c r="C60" s="13">
        <v>477.19717651791575</v>
      </c>
      <c r="D60" s="13">
        <v>466.7220294888204</v>
      </c>
      <c r="E60" s="168">
        <f t="shared" si="9"/>
        <v>465.63087762188064</v>
      </c>
    </row>
    <row r="61" spans="1:5" x14ac:dyDescent="0.25">
      <c r="A61" s="165" t="s">
        <v>31</v>
      </c>
      <c r="B61" s="66">
        <v>439.69621113930839</v>
      </c>
      <c r="C61" s="13">
        <v>448.9527368961156</v>
      </c>
      <c r="D61" s="13">
        <v>437.67627418839373</v>
      </c>
      <c r="E61" s="168">
        <f t="shared" si="9"/>
        <v>442.10840740793924</v>
      </c>
    </row>
    <row r="62" spans="1:5" x14ac:dyDescent="0.25">
      <c r="A62" s="165" t="s">
        <v>29</v>
      </c>
      <c r="B62" s="66">
        <v>438.73825987741685</v>
      </c>
      <c r="C62" s="13">
        <v>436.12572527866251</v>
      </c>
      <c r="D62" s="13">
        <v>446.4687093761944</v>
      </c>
      <c r="E62" s="168">
        <f t="shared" si="9"/>
        <v>440.4442315107579</v>
      </c>
    </row>
    <row r="63" spans="1:5" ht="15.75" thickBot="1" x14ac:dyDescent="0.3">
      <c r="A63" s="169" t="s">
        <v>48</v>
      </c>
      <c r="B63" s="67">
        <v>444.55424278764349</v>
      </c>
      <c r="C63" s="15">
        <v>437.59948827742232</v>
      </c>
      <c r="D63" s="15">
        <v>438.76805621174987</v>
      </c>
      <c r="E63" s="170">
        <f t="shared" si="9"/>
        <v>440.30726242560519</v>
      </c>
    </row>
    <row r="64" spans="1:5" x14ac:dyDescent="0.25">
      <c r="A64" s="31" t="s">
        <v>723</v>
      </c>
    </row>
  </sheetData>
  <mergeCells count="3">
    <mergeCell ref="B1:D1"/>
    <mergeCell ref="E1:H1"/>
    <mergeCell ref="I1:L1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50"/>
  <sheetViews>
    <sheetView workbookViewId="0">
      <selection sqref="A1:D30"/>
    </sheetView>
  </sheetViews>
  <sheetFormatPr defaultRowHeight="15" x14ac:dyDescent="0.25"/>
  <cols>
    <col min="1" max="1" width="24.28515625" customWidth="1"/>
    <col min="2" max="4" width="9.140625" customWidth="1"/>
    <col min="11" max="11" width="10.140625" customWidth="1"/>
    <col min="12" max="13" width="9.42578125" customWidth="1"/>
  </cols>
  <sheetData>
    <row r="1" spans="1:16" x14ac:dyDescent="0.25">
      <c r="A1" s="126"/>
      <c r="B1" s="142" t="s">
        <v>71</v>
      </c>
      <c r="C1" s="143"/>
      <c r="D1" s="144"/>
      <c r="E1" s="143" t="s">
        <v>656</v>
      </c>
      <c r="F1" s="143"/>
      <c r="G1" s="144"/>
      <c r="H1" s="143" t="s">
        <v>658</v>
      </c>
      <c r="I1" s="143"/>
      <c r="J1" s="144"/>
      <c r="K1" s="145" t="s">
        <v>659</v>
      </c>
      <c r="L1" s="143"/>
      <c r="M1" s="144"/>
      <c r="N1" s="145" t="s">
        <v>708</v>
      </c>
      <c r="O1" s="143"/>
      <c r="P1" s="144"/>
    </row>
    <row r="2" spans="1:16" ht="15.75" thickBot="1" x14ac:dyDescent="0.3">
      <c r="A2" s="129"/>
      <c r="B2" s="130">
        <v>2013</v>
      </c>
      <c r="C2" s="131">
        <v>2014</v>
      </c>
      <c r="D2" s="132">
        <v>2015</v>
      </c>
      <c r="E2" s="131">
        <v>2012</v>
      </c>
      <c r="F2" s="131">
        <v>2013</v>
      </c>
      <c r="G2" s="132">
        <v>2014</v>
      </c>
      <c r="H2" s="131">
        <v>2012</v>
      </c>
      <c r="I2" s="131">
        <v>2013</v>
      </c>
      <c r="J2" s="132">
        <v>2014</v>
      </c>
      <c r="K2" s="131">
        <v>2012</v>
      </c>
      <c r="L2" s="131">
        <v>2013</v>
      </c>
      <c r="M2" s="132">
        <v>2014</v>
      </c>
      <c r="N2" s="131">
        <v>2012</v>
      </c>
      <c r="O2" s="131">
        <v>2013</v>
      </c>
      <c r="P2" s="132">
        <v>2014</v>
      </c>
    </row>
    <row r="3" spans="1:16" x14ac:dyDescent="0.25">
      <c r="A3" s="127" t="s">
        <v>33</v>
      </c>
      <c r="B3" s="124">
        <v>80.640488655522589</v>
      </c>
      <c r="C3" s="124">
        <v>80.193200678272063</v>
      </c>
      <c r="D3" s="125">
        <v>79.867133486466784</v>
      </c>
      <c r="E3" s="133">
        <v>1.7184873949579831</v>
      </c>
      <c r="F3" s="133">
        <v>1.7066115702479339</v>
      </c>
      <c r="G3" s="134">
        <v>1.7142857142857142</v>
      </c>
      <c r="H3" s="133">
        <v>1.9558011049723754</v>
      </c>
      <c r="I3" s="133">
        <v>1.9672131147540983</v>
      </c>
      <c r="J3" s="134">
        <v>1.9569892473118278</v>
      </c>
      <c r="K3" s="151">
        <f t="shared" ref="K3:K30" si="0">VLOOKUP(VLOOKUP($A3,tblEnglishNames,2,0),$A$49:$K$94,9,0)/100</f>
        <v>7.4999999999999997E-2</v>
      </c>
      <c r="L3" s="151">
        <f t="shared" ref="L3:L30" si="1">VLOOKUP(VLOOKUP($A3,tblEnglishNames,2,0),$A$49:$K$94,10,0)/100</f>
        <v>7.0000000000000007E-2</v>
      </c>
      <c r="M3" s="152">
        <f t="shared" ref="M3:M30" si="2">VLOOKUP(VLOOKUP($A3,tblEnglishNames,2,0),$A$49:$K$94,11,0)/100</f>
        <v>6.6000000000000003E-2</v>
      </c>
      <c r="N3" s="151">
        <f t="shared" ref="N3:N30" si="3">VLOOKUP(VLOOKUP($A3,tblEnglishNames,2,0),$A$114:$K$150,9,0)/100</f>
        <v>0.13100000000000001</v>
      </c>
      <c r="O3" s="151">
        <f t="shared" ref="O3:O30" si="4">VLOOKUP(VLOOKUP($A3,tblEnglishNames,2,0),$A$114:$K$150,10,0)/100</f>
        <v>0.12300000000000001</v>
      </c>
      <c r="P3" s="152">
        <f t="shared" ref="P3:P30" si="5">VLOOKUP(VLOOKUP($A3,tblEnglishNames,2,0),$A$114:$K$150,11,0)/100</f>
        <v>0.11900000000000001</v>
      </c>
    </row>
    <row r="4" spans="1:16" x14ac:dyDescent="0.25">
      <c r="A4" s="127" t="s">
        <v>35</v>
      </c>
      <c r="B4" s="13">
        <v>79.428597775665864</v>
      </c>
      <c r="C4" s="13">
        <v>80.341919473457025</v>
      </c>
      <c r="D4" s="14">
        <v>79.669392774622864</v>
      </c>
      <c r="E4" s="135">
        <v>1.3403361344537814</v>
      </c>
      <c r="F4" s="135">
        <v>1.3429752066115703</v>
      </c>
      <c r="G4" s="136">
        <v>1.3428571428571427</v>
      </c>
      <c r="H4" s="135">
        <v>1.3867403314917126</v>
      </c>
      <c r="I4" s="135">
        <v>1.3989071038251366</v>
      </c>
      <c r="J4" s="136">
        <v>1.3924731182795698</v>
      </c>
      <c r="K4" s="153">
        <f t="shared" si="0"/>
        <v>7.6999999999999999E-2</v>
      </c>
      <c r="L4" s="153">
        <f t="shared" si="1"/>
        <v>8.199999999999999E-2</v>
      </c>
      <c r="M4" s="154">
        <f t="shared" si="2"/>
        <v>8.6999999999999994E-2</v>
      </c>
      <c r="N4" s="153">
        <f t="shared" si="3"/>
        <v>0.13200000000000001</v>
      </c>
      <c r="O4" s="153">
        <f t="shared" si="4"/>
        <v>0.11800000000000001</v>
      </c>
      <c r="P4" s="154">
        <f t="shared" si="5"/>
        <v>0.128</v>
      </c>
    </row>
    <row r="5" spans="1:16" x14ac:dyDescent="0.25">
      <c r="A5" s="127" t="s">
        <v>51</v>
      </c>
      <c r="B5" s="13">
        <v>79.418865992745765</v>
      </c>
      <c r="C5" s="13">
        <v>77.489730094425198</v>
      </c>
      <c r="D5" s="14">
        <v>77.265073774921632</v>
      </c>
      <c r="E5" s="135">
        <v>1.6848739495798319</v>
      </c>
      <c r="F5" s="135">
        <v>1.694214876033058</v>
      </c>
      <c r="G5" s="136">
        <v>1.6408163265306124</v>
      </c>
      <c r="H5" s="135">
        <v>1.5082872928176794</v>
      </c>
      <c r="I5" s="135">
        <v>1.5300546448087431</v>
      </c>
      <c r="J5" s="136">
        <v>1.4784946236559138</v>
      </c>
      <c r="K5" s="153">
        <f t="shared" si="0"/>
        <v>0.08</v>
      </c>
      <c r="L5" s="153">
        <f t="shared" si="1"/>
        <v>0.08</v>
      </c>
      <c r="M5" s="154">
        <f t="shared" si="2"/>
        <v>7.9000000000000001E-2</v>
      </c>
      <c r="N5" s="153">
        <f t="shared" si="3"/>
        <v>0.14099999999999999</v>
      </c>
      <c r="O5" s="153">
        <f t="shared" si="4"/>
        <v>0.14800000000000002</v>
      </c>
      <c r="P5" s="154" t="e">
        <f t="shared" si="5"/>
        <v>#VALUE!</v>
      </c>
    </row>
    <row r="6" spans="1:16" x14ac:dyDescent="0.25">
      <c r="A6" s="127" t="s">
        <v>45</v>
      </c>
      <c r="B6" s="13">
        <v>66.359530491799632</v>
      </c>
      <c r="C6" s="13">
        <v>69.306621572461083</v>
      </c>
      <c r="D6" s="14">
        <v>68.469817361616748</v>
      </c>
      <c r="E6" s="135">
        <v>1.3403361344537814</v>
      </c>
      <c r="F6" s="135">
        <v>1.3677685950413223</v>
      </c>
      <c r="G6" s="136">
        <v>1.3673469387755102</v>
      </c>
      <c r="H6" s="135">
        <v>1.3535911602209945</v>
      </c>
      <c r="I6" s="135">
        <v>1.3661202185792349</v>
      </c>
      <c r="J6" s="136">
        <v>1.3548387096774193</v>
      </c>
      <c r="K6" s="153">
        <f t="shared" si="0"/>
        <v>5.7999999999999996E-2</v>
      </c>
      <c r="L6" s="153">
        <f t="shared" si="1"/>
        <v>7.2999999999999995E-2</v>
      </c>
      <c r="M6" s="154">
        <f t="shared" si="2"/>
        <v>7.400000000000001E-2</v>
      </c>
      <c r="N6" s="153">
        <f t="shared" si="3"/>
        <v>0.10099999999999999</v>
      </c>
      <c r="O6" s="153">
        <f t="shared" si="4"/>
        <v>0.10400000000000001</v>
      </c>
      <c r="P6" s="154" t="e">
        <f t="shared" si="5"/>
        <v>#VALUE!</v>
      </c>
    </row>
    <row r="7" spans="1:16" x14ac:dyDescent="0.25">
      <c r="A7" s="127" t="s">
        <v>40</v>
      </c>
      <c r="B7" s="13">
        <v>64.469579401197322</v>
      </c>
      <c r="C7" s="13">
        <v>64.988866995196247</v>
      </c>
      <c r="D7" s="14">
        <v>64.653612256787653</v>
      </c>
      <c r="E7" s="135">
        <v>1.180672268907563</v>
      </c>
      <c r="F7" s="135">
        <v>1.1652892561983472</v>
      </c>
      <c r="G7" s="136">
        <v>1.1591836734693877</v>
      </c>
      <c r="H7" s="135">
        <v>1.30939226519337</v>
      </c>
      <c r="I7" s="135">
        <v>1.3005464480874316</v>
      </c>
      <c r="J7" s="136">
        <v>1.2956989247311828</v>
      </c>
      <c r="K7" s="153">
        <f t="shared" si="0"/>
        <v>0.14699999999999999</v>
      </c>
      <c r="L7" s="153">
        <f t="shared" si="1"/>
        <v>0.13100000000000001</v>
      </c>
      <c r="M7" s="154">
        <f t="shared" si="2"/>
        <v>0.113</v>
      </c>
      <c r="N7" s="153">
        <f t="shared" si="3"/>
        <v>0.157</v>
      </c>
      <c r="O7" s="153">
        <f t="shared" si="4"/>
        <v>0.14099999999999999</v>
      </c>
      <c r="P7" s="154" t="e">
        <f t="shared" si="5"/>
        <v>#VALUE!</v>
      </c>
    </row>
    <row r="8" spans="1:16" x14ac:dyDescent="0.25">
      <c r="A8" s="127" t="s">
        <v>54</v>
      </c>
      <c r="B8" s="13">
        <v>63.638562877097975</v>
      </c>
      <c r="C8" s="13">
        <v>61.668256621195447</v>
      </c>
      <c r="D8" s="14">
        <v>65.840034578333999</v>
      </c>
      <c r="E8" s="135">
        <v>0.90336134453781514</v>
      </c>
      <c r="F8" s="135">
        <v>0.85537190082644632</v>
      </c>
      <c r="G8" s="136">
        <v>0.90612244897959182</v>
      </c>
      <c r="H8" s="135">
        <v>1</v>
      </c>
      <c r="I8" s="135">
        <v>0.95628415300546443</v>
      </c>
      <c r="J8" s="136">
        <v>1.0053763440860215</v>
      </c>
      <c r="K8" s="153">
        <f t="shared" si="0"/>
        <v>7.9000000000000001E-2</v>
      </c>
      <c r="L8" s="153">
        <f t="shared" si="1"/>
        <v>7.5999999999999998E-2</v>
      </c>
      <c r="M8" s="154">
        <f t="shared" si="2"/>
        <v>6.0999999999999999E-2</v>
      </c>
      <c r="N8" s="153">
        <f t="shared" si="3"/>
        <v>0.16</v>
      </c>
      <c r="O8" s="153">
        <f t="shared" si="4"/>
        <v>0.159</v>
      </c>
      <c r="P8" s="154" t="e">
        <f t="shared" si="5"/>
        <v>#VALUE!</v>
      </c>
    </row>
    <row r="9" spans="1:16" x14ac:dyDescent="0.25">
      <c r="A9" s="127" t="s">
        <v>27</v>
      </c>
      <c r="B9" s="13">
        <v>61.071906141452878</v>
      </c>
      <c r="C9" s="13">
        <v>62.026017387114507</v>
      </c>
      <c r="D9" s="14">
        <v>63.784302374555395</v>
      </c>
      <c r="E9" s="135">
        <v>1.2563025210084033</v>
      </c>
      <c r="F9" s="135">
        <v>1.2685950413223142</v>
      </c>
      <c r="G9" s="136">
        <v>1.2938775510204081</v>
      </c>
      <c r="H9" s="135">
        <v>1.2154696132596685</v>
      </c>
      <c r="I9" s="135">
        <v>1.2295081967213115</v>
      </c>
      <c r="J9" s="136">
        <v>1.2526881720430108</v>
      </c>
      <c r="K9" s="153">
        <f t="shared" si="0"/>
        <v>4.9000000000000002E-2</v>
      </c>
      <c r="L9" s="153">
        <f t="shared" si="1"/>
        <v>5.4000000000000006E-2</v>
      </c>
      <c r="M9" s="154">
        <f t="shared" si="2"/>
        <v>5.5999999999999994E-2</v>
      </c>
      <c r="N9" s="153">
        <f t="shared" si="3"/>
        <v>0.14400000000000002</v>
      </c>
      <c r="O9" s="153">
        <f t="shared" si="4"/>
        <v>0.14400000000000002</v>
      </c>
      <c r="P9" s="154">
        <f t="shared" si="5"/>
        <v>0.14099999999999999</v>
      </c>
    </row>
    <row r="10" spans="1:16" x14ac:dyDescent="0.25">
      <c r="A10" s="127" t="s">
        <v>36</v>
      </c>
      <c r="B10" s="13">
        <v>65.165399617218725</v>
      </c>
      <c r="C10" s="13">
        <v>64.715598778620475</v>
      </c>
      <c r="D10" s="14">
        <v>63.204672189940069</v>
      </c>
      <c r="E10" s="135">
        <v>1.4621848739495797</v>
      </c>
      <c r="F10" s="135">
        <v>1.4421487603305785</v>
      </c>
      <c r="G10" s="136">
        <v>1.4367346938775512</v>
      </c>
      <c r="H10" s="135">
        <v>1.2762430939226519</v>
      </c>
      <c r="I10" s="135">
        <v>1.2896174863387979</v>
      </c>
      <c r="J10" s="136">
        <v>1.2903225806451613</v>
      </c>
      <c r="K10" s="153">
        <f t="shared" si="0"/>
        <v>9.8000000000000004E-2</v>
      </c>
      <c r="L10" s="153">
        <f t="shared" si="1"/>
        <v>0.10300000000000001</v>
      </c>
      <c r="M10" s="154">
        <f t="shared" si="2"/>
        <v>0.10300000000000001</v>
      </c>
      <c r="N10" s="153">
        <f t="shared" si="3"/>
        <v>0.14099999999999999</v>
      </c>
      <c r="O10" s="153">
        <f t="shared" si="4"/>
        <v>0.13699999999999998</v>
      </c>
      <c r="P10" s="154" t="e">
        <f t="shared" si="5"/>
        <v>#VALUE!</v>
      </c>
    </row>
    <row r="11" spans="1:16" x14ac:dyDescent="0.25">
      <c r="A11" s="127" t="s">
        <v>37</v>
      </c>
      <c r="B11" s="13">
        <v>62.242006556229043</v>
      </c>
      <c r="C11" s="13">
        <v>63.444411477722461</v>
      </c>
      <c r="D11" s="14">
        <v>61.938270339278787</v>
      </c>
      <c r="E11" s="135">
        <v>1.2983193277310923</v>
      </c>
      <c r="F11" s="135">
        <v>1.2933884297520661</v>
      </c>
      <c r="G11" s="136">
        <v>1.2979591836734694</v>
      </c>
      <c r="H11" s="135">
        <v>1.3370165745856353</v>
      </c>
      <c r="I11" s="135">
        <v>1.3387978142076502</v>
      </c>
      <c r="J11" s="136">
        <v>1.3387096774193548</v>
      </c>
      <c r="K11" s="153">
        <f t="shared" si="0"/>
        <v>5.4000000000000006E-2</v>
      </c>
      <c r="L11" s="153">
        <f t="shared" si="1"/>
        <v>5.2000000000000005E-2</v>
      </c>
      <c r="M11" s="154">
        <f t="shared" si="2"/>
        <v>0.05</v>
      </c>
      <c r="N11" s="153">
        <f t="shared" si="3"/>
        <v>0.161</v>
      </c>
      <c r="O11" s="153">
        <f t="shared" si="4"/>
        <v>0.161</v>
      </c>
      <c r="P11" s="154" t="e">
        <f t="shared" si="5"/>
        <v>#VALUE!</v>
      </c>
    </row>
    <row r="12" spans="1:16" x14ac:dyDescent="0.25">
      <c r="A12" s="127" t="s">
        <v>44</v>
      </c>
      <c r="B12" s="13">
        <v>53.964050488571758</v>
      </c>
      <c r="C12" s="13">
        <v>53.400788943527317</v>
      </c>
      <c r="D12" s="14">
        <v>58.497547471720949</v>
      </c>
      <c r="E12" s="135">
        <v>1.4159663865546219</v>
      </c>
      <c r="F12" s="135">
        <v>1.4380165289256197</v>
      </c>
      <c r="G12" s="136">
        <v>1.4571428571428573</v>
      </c>
      <c r="H12" s="135">
        <v>1.6022099447513811</v>
      </c>
      <c r="I12" s="135">
        <v>1.639344262295082</v>
      </c>
      <c r="J12" s="136">
        <v>1.6559139784946235</v>
      </c>
      <c r="K12" s="153">
        <f t="shared" si="0"/>
        <v>5.0999999999999997E-2</v>
      </c>
      <c r="L12" s="153">
        <f t="shared" si="1"/>
        <v>5.9000000000000004E-2</v>
      </c>
      <c r="M12" s="154">
        <f t="shared" si="2"/>
        <v>0.06</v>
      </c>
      <c r="N12" s="153">
        <f t="shared" si="3"/>
        <v>0.151</v>
      </c>
      <c r="O12" s="153">
        <f t="shared" si="4"/>
        <v>0.159</v>
      </c>
      <c r="P12" s="154" t="e">
        <f t="shared" si="5"/>
        <v>#VALUE!</v>
      </c>
    </row>
    <row r="13" spans="1:16" x14ac:dyDescent="0.25">
      <c r="A13" s="127" t="s">
        <v>28</v>
      </c>
      <c r="B13" s="13">
        <v>57.315336485514244</v>
      </c>
      <c r="C13" s="13">
        <v>57.195141680669991</v>
      </c>
      <c r="D13" s="14">
        <v>57.302515400492517</v>
      </c>
      <c r="E13" s="135">
        <v>1.680672268907563</v>
      </c>
      <c r="F13" s="135">
        <v>1.6818181818181819</v>
      </c>
      <c r="G13" s="136">
        <v>1.6775510204081634</v>
      </c>
      <c r="H13" s="135">
        <v>1.5303867403314915</v>
      </c>
      <c r="I13" s="135">
        <v>1.540983606557377</v>
      </c>
      <c r="J13" s="136">
        <v>1.532258064516129</v>
      </c>
      <c r="K13" s="153">
        <f t="shared" si="0"/>
        <v>7.5999999999999998E-2</v>
      </c>
      <c r="L13" s="153">
        <f t="shared" si="1"/>
        <v>8.4000000000000005E-2</v>
      </c>
      <c r="M13" s="154">
        <f t="shared" si="2"/>
        <v>8.5000000000000006E-2</v>
      </c>
      <c r="N13" s="153">
        <f t="shared" si="3"/>
        <v>0.153</v>
      </c>
      <c r="O13" s="153">
        <f t="shared" si="4"/>
        <v>0.151</v>
      </c>
      <c r="P13" s="154">
        <f t="shared" si="5"/>
        <v>0.155</v>
      </c>
    </row>
    <row r="14" spans="1:16" x14ac:dyDescent="0.25">
      <c r="A14" s="127" t="s">
        <v>18</v>
      </c>
      <c r="B14" s="13">
        <v>48.381469785548063</v>
      </c>
      <c r="C14" s="13">
        <v>53.258848414176462</v>
      </c>
      <c r="D14" s="14">
        <v>51.716429120314231</v>
      </c>
      <c r="E14" s="135">
        <v>0.47899159663865548</v>
      </c>
      <c r="F14" s="135">
        <v>0.48347107438016529</v>
      </c>
      <c r="G14" s="136">
        <v>0.48163265306122449</v>
      </c>
      <c r="H14" s="135">
        <v>0.58011049723756902</v>
      </c>
      <c r="I14" s="135">
        <v>0.58469945355191255</v>
      </c>
      <c r="J14" s="136">
        <v>0.58064516129032262</v>
      </c>
      <c r="K14" s="153">
        <f t="shared" si="0"/>
        <v>6.3E-2</v>
      </c>
      <c r="L14" s="153">
        <f t="shared" si="1"/>
        <v>6.4000000000000001E-2</v>
      </c>
      <c r="M14" s="154">
        <f t="shared" si="2"/>
        <v>5.9000000000000004E-2</v>
      </c>
      <c r="N14" s="153">
        <f t="shared" si="3"/>
        <v>0.151</v>
      </c>
      <c r="O14" s="153">
        <f t="shared" si="4"/>
        <v>0.157</v>
      </c>
      <c r="P14" s="154">
        <f t="shared" si="5"/>
        <v>0.159</v>
      </c>
    </row>
    <row r="15" spans="1:16" x14ac:dyDescent="0.25">
      <c r="A15" s="127" t="s">
        <v>49</v>
      </c>
      <c r="B15" s="13">
        <v>53.158270558648027</v>
      </c>
      <c r="C15" s="13">
        <v>53.227020286566606</v>
      </c>
      <c r="D15" s="14">
        <v>50.330153665842346</v>
      </c>
      <c r="E15" s="135">
        <v>0.6428571428571429</v>
      </c>
      <c r="F15" s="135">
        <v>0.62809917355371903</v>
      </c>
      <c r="G15" s="136">
        <v>0.63265306122448983</v>
      </c>
      <c r="H15" s="135">
        <v>0.71270718232044195</v>
      </c>
      <c r="I15" s="135">
        <v>0.69945355191256831</v>
      </c>
      <c r="J15" s="136">
        <v>0.70430107526881713</v>
      </c>
      <c r="K15" s="153">
        <f t="shared" si="0"/>
        <v>8.900000000000001E-2</v>
      </c>
      <c r="L15" s="153">
        <f t="shared" si="1"/>
        <v>0.10099999999999999</v>
      </c>
      <c r="M15" s="154">
        <f t="shared" si="2"/>
        <v>9.6999999999999989E-2</v>
      </c>
      <c r="N15" s="153">
        <f t="shared" si="3"/>
        <v>0.13500000000000001</v>
      </c>
      <c r="O15" s="153">
        <f t="shared" si="4"/>
        <v>0.14499999999999999</v>
      </c>
      <c r="P15" s="154">
        <f t="shared" si="5"/>
        <v>0.14499999999999999</v>
      </c>
    </row>
    <row r="16" spans="1:16" x14ac:dyDescent="0.25">
      <c r="A16" s="127" t="s">
        <v>34</v>
      </c>
      <c r="B16" s="13">
        <v>53.148469793644544</v>
      </c>
      <c r="C16" s="13">
        <v>52.405777907717521</v>
      </c>
      <c r="D16" s="14">
        <v>52.084753307856609</v>
      </c>
      <c r="E16" s="135">
        <v>0.37394957983193278</v>
      </c>
      <c r="F16" s="135">
        <v>0.39669421487603307</v>
      </c>
      <c r="G16" s="136">
        <v>0.41632653061224489</v>
      </c>
      <c r="H16" s="135">
        <v>0.35911602209944748</v>
      </c>
      <c r="I16" s="135">
        <v>0.38797814207650272</v>
      </c>
      <c r="J16" s="136">
        <v>0.40322580645161288</v>
      </c>
      <c r="K16" s="153">
        <f t="shared" si="0"/>
        <v>0.1</v>
      </c>
      <c r="L16" s="153">
        <f t="shared" si="1"/>
        <v>8.5999999999999993E-2</v>
      </c>
      <c r="M16" s="154">
        <f t="shared" si="2"/>
        <v>7.400000000000001E-2</v>
      </c>
      <c r="N16" s="153">
        <f t="shared" si="3"/>
        <v>0.17499999999999999</v>
      </c>
      <c r="O16" s="153">
        <f t="shared" si="4"/>
        <v>0.18600000000000003</v>
      </c>
      <c r="P16" s="154" t="e">
        <f t="shared" si="5"/>
        <v>#VALUE!</v>
      </c>
    </row>
    <row r="17" spans="1:16" x14ac:dyDescent="0.25">
      <c r="A17" s="127" t="s">
        <v>47</v>
      </c>
      <c r="B17" s="13">
        <v>41.304110455735469</v>
      </c>
      <c r="C17" s="13">
        <v>43.267787631171444</v>
      </c>
      <c r="D17" s="14">
        <v>47.735894980462483</v>
      </c>
      <c r="E17" s="135">
        <v>0.54201680672268904</v>
      </c>
      <c r="F17" s="135">
        <v>0.52479338842975209</v>
      </c>
      <c r="G17" s="136">
        <v>0.51428571428571423</v>
      </c>
      <c r="H17" s="135">
        <v>0.56353591160220984</v>
      </c>
      <c r="I17" s="135">
        <v>0.54644808743169393</v>
      </c>
      <c r="J17" s="136">
        <v>0.532258064516129</v>
      </c>
      <c r="K17" s="153">
        <f t="shared" si="0"/>
        <v>0.158</v>
      </c>
      <c r="L17" s="153">
        <f t="shared" si="1"/>
        <v>0.16399999999999998</v>
      </c>
      <c r="M17" s="154">
        <f t="shared" si="2"/>
        <v>0.14099999999999999</v>
      </c>
      <c r="N17" s="153">
        <f t="shared" si="3"/>
        <v>0.17899999999999999</v>
      </c>
      <c r="O17" s="153">
        <f t="shared" si="4"/>
        <v>0.187</v>
      </c>
      <c r="P17" s="154" t="e">
        <f t="shared" si="5"/>
        <v>#VALUE!</v>
      </c>
    </row>
    <row r="18" spans="1:16" x14ac:dyDescent="0.25">
      <c r="A18" s="127" t="s">
        <v>32</v>
      </c>
      <c r="B18" s="13">
        <v>40.898118148833468</v>
      </c>
      <c r="C18" s="13">
        <v>43.348054961816374</v>
      </c>
      <c r="D18" s="14">
        <v>45.049486070568186</v>
      </c>
      <c r="E18" s="135">
        <v>0.42436974789915966</v>
      </c>
      <c r="F18" s="135">
        <v>0.40909090909090912</v>
      </c>
      <c r="G18" s="136">
        <v>0.39183673469387753</v>
      </c>
      <c r="H18" s="135">
        <v>0.40883977900552487</v>
      </c>
      <c r="I18" s="135">
        <v>0.39344262295081966</v>
      </c>
      <c r="J18" s="136">
        <v>0.37634408602150538</v>
      </c>
      <c r="K18" s="153">
        <f t="shared" si="0"/>
        <v>7.0000000000000007E-2</v>
      </c>
      <c r="L18" s="153">
        <f t="shared" si="1"/>
        <v>7.0000000000000007E-2</v>
      </c>
      <c r="M18" s="154">
        <f t="shared" si="2"/>
        <v>6.0999999999999999E-2</v>
      </c>
      <c r="N18" s="153">
        <f t="shared" si="3"/>
        <v>9.6000000000000002E-2</v>
      </c>
      <c r="O18" s="153">
        <f t="shared" si="4"/>
        <v>8.5999999999999993E-2</v>
      </c>
      <c r="P18" s="154" t="e">
        <f t="shared" si="5"/>
        <v>#VALUE!</v>
      </c>
    </row>
    <row r="19" spans="1:16" x14ac:dyDescent="0.25">
      <c r="A19" s="127" t="s">
        <v>39</v>
      </c>
      <c r="B19" s="13">
        <v>45.909846989335854</v>
      </c>
      <c r="C19" s="13">
        <v>38.590683694061568</v>
      </c>
      <c r="D19" s="14">
        <v>41.883015524446876</v>
      </c>
      <c r="E19" s="135">
        <v>0.33193277310924368</v>
      </c>
      <c r="F19" s="135">
        <v>0.32644628099173556</v>
      </c>
      <c r="G19" s="136">
        <v>0.3183673469387755</v>
      </c>
      <c r="H19" s="135">
        <v>0.33149171270718231</v>
      </c>
      <c r="I19" s="135">
        <v>0.33333333333333331</v>
      </c>
      <c r="J19" s="136">
        <v>0.32258064516129031</v>
      </c>
      <c r="K19" s="153">
        <f t="shared" si="0"/>
        <v>0.11</v>
      </c>
      <c r="L19" s="153">
        <f t="shared" si="1"/>
        <v>0.10199999999999999</v>
      </c>
      <c r="M19" s="154">
        <f t="shared" si="2"/>
        <v>7.6999999999999999E-2</v>
      </c>
      <c r="N19" s="153">
        <f t="shared" si="3"/>
        <v>0.14000000000000001</v>
      </c>
      <c r="O19" s="153">
        <f t="shared" si="4"/>
        <v>0.14300000000000002</v>
      </c>
      <c r="P19" s="154">
        <f t="shared" si="5"/>
        <v>0.14599999999999999</v>
      </c>
    </row>
    <row r="20" spans="1:16" x14ac:dyDescent="0.25">
      <c r="A20" s="127" t="s">
        <v>50</v>
      </c>
      <c r="B20" s="13">
        <v>42.320971329049911</v>
      </c>
      <c r="C20" s="13">
        <v>40.905565799729501</v>
      </c>
      <c r="D20" s="14">
        <v>41.097754038375655</v>
      </c>
      <c r="E20" s="135">
        <v>0.87815126050420156</v>
      </c>
      <c r="F20" s="135">
        <v>0.86776859504132231</v>
      </c>
      <c r="G20" s="136">
        <v>0.8571428571428571</v>
      </c>
      <c r="H20" s="135">
        <v>0.85082872928176789</v>
      </c>
      <c r="I20" s="135">
        <v>0.83606557377049184</v>
      </c>
      <c r="J20" s="136">
        <v>0.82795698924731176</v>
      </c>
      <c r="K20" s="153">
        <f t="shared" si="0"/>
        <v>0.248</v>
      </c>
      <c r="L20" s="153">
        <f t="shared" si="1"/>
        <v>0.26100000000000001</v>
      </c>
      <c r="M20" s="154">
        <f t="shared" si="2"/>
        <v>0.245</v>
      </c>
      <c r="N20" s="153">
        <f t="shared" si="3"/>
        <v>0.20800000000000002</v>
      </c>
      <c r="O20" s="153">
        <f t="shared" si="4"/>
        <v>0.20399999999999999</v>
      </c>
      <c r="P20" s="154">
        <f t="shared" si="5"/>
        <v>0.222</v>
      </c>
    </row>
    <row r="21" spans="1:16" x14ac:dyDescent="0.25">
      <c r="A21" s="127" t="s">
        <v>31</v>
      </c>
      <c r="B21" s="13">
        <v>40.821746006495921</v>
      </c>
      <c r="C21" s="13">
        <v>45.337916759438222</v>
      </c>
      <c r="D21" s="14">
        <v>40.227321515263931</v>
      </c>
      <c r="E21" s="135">
        <v>0.69747899159663873</v>
      </c>
      <c r="F21" s="135">
        <v>0.66942148760330578</v>
      </c>
      <c r="G21" s="136">
        <v>0.64081632653061227</v>
      </c>
      <c r="H21" s="135">
        <v>0.76243093922651928</v>
      </c>
      <c r="I21" s="135">
        <v>0.73770491803278682</v>
      </c>
      <c r="J21" s="136">
        <v>0.69892473118279563</v>
      </c>
      <c r="K21" s="153">
        <f t="shared" si="0"/>
        <v>0.11900000000000001</v>
      </c>
      <c r="L21" s="153">
        <f t="shared" si="1"/>
        <v>0.159</v>
      </c>
      <c r="M21" s="154">
        <f t="shared" si="2"/>
        <v>0.161</v>
      </c>
      <c r="N21" s="153">
        <f t="shared" si="3"/>
        <v>0.14699999999999999</v>
      </c>
      <c r="O21" s="153">
        <f t="shared" si="4"/>
        <v>0.153</v>
      </c>
      <c r="P21" s="154" t="e">
        <f t="shared" si="5"/>
        <v>#VALUE!</v>
      </c>
    </row>
    <row r="22" spans="1:16" x14ac:dyDescent="0.25">
      <c r="A22" s="127" t="s">
        <v>56</v>
      </c>
      <c r="B22" s="13">
        <v>37.678997025936688</v>
      </c>
      <c r="C22" s="13">
        <v>35.559153420493828</v>
      </c>
      <c r="D22" s="14">
        <v>38.789557793257259</v>
      </c>
      <c r="E22" s="135">
        <v>0.3907563025210084</v>
      </c>
      <c r="F22" s="135">
        <v>0.3925619834710744</v>
      </c>
      <c r="G22" s="136">
        <v>0.40816326530612246</v>
      </c>
      <c r="H22" s="135">
        <v>0.38121546961325964</v>
      </c>
      <c r="I22" s="135">
        <v>0.38251366120218577</v>
      </c>
      <c r="J22" s="136">
        <v>0.39784946236559138</v>
      </c>
      <c r="K22" s="153">
        <f t="shared" si="0"/>
        <v>0.14000000000000001</v>
      </c>
      <c r="L22" s="153">
        <f t="shared" si="1"/>
        <v>0.14199999999999999</v>
      </c>
      <c r="M22" s="154">
        <f t="shared" si="2"/>
        <v>0.13200000000000001</v>
      </c>
      <c r="N22" s="153">
        <f t="shared" si="3"/>
        <v>0.13200000000000001</v>
      </c>
      <c r="O22" s="153">
        <f t="shared" si="4"/>
        <v>0.128</v>
      </c>
      <c r="P22" s="154">
        <f t="shared" si="5"/>
        <v>0.126</v>
      </c>
    </row>
    <row r="23" spans="1:16" x14ac:dyDescent="0.25">
      <c r="A23" s="127" t="s">
        <v>42</v>
      </c>
      <c r="B23" s="13">
        <v>35.864979569731517</v>
      </c>
      <c r="C23" s="13">
        <v>34.587518417071038</v>
      </c>
      <c r="D23" s="14">
        <v>36.328307358888225</v>
      </c>
      <c r="E23" s="135">
        <v>0.25210084033613445</v>
      </c>
      <c r="F23" s="135">
        <v>0.25619834710743805</v>
      </c>
      <c r="G23" s="136">
        <v>0.26938775510204083</v>
      </c>
      <c r="H23" s="135">
        <v>0.25966850828729282</v>
      </c>
      <c r="I23" s="135">
        <v>0.26775956284153007</v>
      </c>
      <c r="J23" s="136">
        <v>0.28494623655913975</v>
      </c>
      <c r="K23" s="153">
        <f t="shared" si="0"/>
        <v>0.15</v>
      </c>
      <c r="L23" s="153">
        <f t="shared" si="1"/>
        <v>0.11900000000000001</v>
      </c>
      <c r="M23" s="154">
        <f t="shared" si="2"/>
        <v>0.10800000000000001</v>
      </c>
      <c r="N23" s="153">
        <f t="shared" si="3"/>
        <v>0.192</v>
      </c>
      <c r="O23" s="153">
        <f t="shared" si="4"/>
        <v>0.19399999999999998</v>
      </c>
      <c r="P23" s="154">
        <f t="shared" si="5"/>
        <v>0.21199999999999999</v>
      </c>
    </row>
    <row r="24" spans="1:16" x14ac:dyDescent="0.25">
      <c r="A24" s="127" t="s">
        <v>43</v>
      </c>
      <c r="B24" s="13">
        <v>38.966045418610115</v>
      </c>
      <c r="C24" s="13">
        <v>38.314695791561341</v>
      </c>
      <c r="D24" s="14">
        <v>35.417863872950711</v>
      </c>
      <c r="E24" s="135">
        <v>0.24789915966386555</v>
      </c>
      <c r="F24" s="135">
        <v>0.26033057851239672</v>
      </c>
      <c r="G24" s="136">
        <v>0.26938775510204083</v>
      </c>
      <c r="H24" s="135">
        <v>0.23204419889502761</v>
      </c>
      <c r="I24" s="135">
        <v>0.24590163934426229</v>
      </c>
      <c r="J24" s="136">
        <v>0.25268817204301075</v>
      </c>
      <c r="K24" s="153">
        <f t="shared" si="0"/>
        <v>0.13400000000000001</v>
      </c>
      <c r="L24" s="153">
        <f t="shared" si="1"/>
        <v>0.11800000000000001</v>
      </c>
      <c r="M24" s="154">
        <f t="shared" si="2"/>
        <v>0.107</v>
      </c>
      <c r="N24" s="153">
        <f t="shared" si="3"/>
        <v>0.18600000000000003</v>
      </c>
      <c r="O24" s="153">
        <f t="shared" si="4"/>
        <v>0.20600000000000002</v>
      </c>
      <c r="P24" s="154">
        <f t="shared" si="5"/>
        <v>0.191</v>
      </c>
    </row>
    <row r="25" spans="1:16" x14ac:dyDescent="0.25">
      <c r="A25" s="127" t="s">
        <v>46</v>
      </c>
      <c r="B25" s="13">
        <v>36.292581715274132</v>
      </c>
      <c r="C25" s="13">
        <v>34.970208109247267</v>
      </c>
      <c r="D25" s="14">
        <v>35.244652281143871</v>
      </c>
      <c r="E25" s="135">
        <v>0.31932773109243695</v>
      </c>
      <c r="F25" s="135">
        <v>0.32231404958677684</v>
      </c>
      <c r="G25" s="136">
        <v>0.33469387755102037</v>
      </c>
      <c r="H25" s="135">
        <v>0.34254143646408836</v>
      </c>
      <c r="I25" s="135">
        <v>0.34972677595628415</v>
      </c>
      <c r="J25" s="136">
        <v>0.36021505376344082</v>
      </c>
      <c r="K25" s="153">
        <f t="shared" si="0"/>
        <v>0.10099999999999999</v>
      </c>
      <c r="L25" s="153">
        <f t="shared" si="1"/>
        <v>0.10300000000000001</v>
      </c>
      <c r="M25" s="154">
        <f t="shared" si="2"/>
        <v>0.09</v>
      </c>
      <c r="N25" s="153">
        <f t="shared" si="3"/>
        <v>0.17100000000000001</v>
      </c>
      <c r="O25" s="153">
        <f t="shared" si="4"/>
        <v>0.17300000000000001</v>
      </c>
      <c r="P25" s="154">
        <f t="shared" si="5"/>
        <v>0.17</v>
      </c>
    </row>
    <row r="26" spans="1:16" x14ac:dyDescent="0.25">
      <c r="A26" s="127" t="s">
        <v>30</v>
      </c>
      <c r="B26" s="13">
        <v>30.834458859447352</v>
      </c>
      <c r="C26" s="13">
        <v>33.187452283067827</v>
      </c>
      <c r="D26" s="14">
        <v>31.434980206875593</v>
      </c>
      <c r="E26" s="135">
        <v>0.3907563025210084</v>
      </c>
      <c r="F26" s="135">
        <v>0.3925619834710744</v>
      </c>
      <c r="G26" s="136">
        <v>0.37959183673469393</v>
      </c>
      <c r="H26" s="135">
        <v>0.43646408839779005</v>
      </c>
      <c r="I26" s="135">
        <v>0.43715846994535518</v>
      </c>
      <c r="J26" s="136">
        <v>0.42473118279569894</v>
      </c>
      <c r="K26" s="153">
        <f t="shared" si="0"/>
        <v>0.16</v>
      </c>
      <c r="L26" s="153">
        <f t="shared" si="1"/>
        <v>0.17300000000000001</v>
      </c>
      <c r="M26" s="154">
        <f t="shared" si="2"/>
        <v>0.17300000000000001</v>
      </c>
      <c r="N26" s="153">
        <f t="shared" si="3"/>
        <v>0.20399999999999999</v>
      </c>
      <c r="O26" s="153">
        <f t="shared" si="4"/>
        <v>0.19500000000000001</v>
      </c>
      <c r="P26" s="154" t="e">
        <f t="shared" si="5"/>
        <v>#VALUE!</v>
      </c>
    </row>
    <row r="27" spans="1:16" x14ac:dyDescent="0.25">
      <c r="A27" s="127" t="s">
        <v>38</v>
      </c>
      <c r="B27" s="13">
        <v>28.029934948656457</v>
      </c>
      <c r="C27" s="13">
        <v>27.70768603201007</v>
      </c>
      <c r="D27" s="14">
        <v>30.901294727078959</v>
      </c>
      <c r="E27" s="135">
        <v>0.66386554621848737</v>
      </c>
      <c r="F27" s="135">
        <v>0.60330578512396693</v>
      </c>
      <c r="G27" s="136">
        <v>0.58775510204081638</v>
      </c>
      <c r="H27" s="135">
        <v>0.66298342541436461</v>
      </c>
      <c r="I27" s="135">
        <v>0.60109289617486339</v>
      </c>
      <c r="J27" s="136">
        <v>0.60109289617486339</v>
      </c>
      <c r="K27" s="153">
        <f t="shared" si="0"/>
        <v>0.245</v>
      </c>
      <c r="L27" s="153">
        <f t="shared" si="1"/>
        <v>0.27500000000000002</v>
      </c>
      <c r="M27" s="154">
        <f t="shared" si="2"/>
        <v>0.26500000000000001</v>
      </c>
      <c r="N27" s="153">
        <f t="shared" si="3"/>
        <v>0.23100000000000001</v>
      </c>
      <c r="O27" s="153">
        <f t="shared" si="4"/>
        <v>0.23100000000000001</v>
      </c>
      <c r="P27" s="154">
        <f t="shared" si="5"/>
        <v>0.221</v>
      </c>
    </row>
    <row r="28" spans="1:16" x14ac:dyDescent="0.25">
      <c r="A28" s="127" t="s">
        <v>41</v>
      </c>
      <c r="B28" s="13">
        <v>30.205932821518445</v>
      </c>
      <c r="C28" s="13">
        <v>33.112188345963936</v>
      </c>
      <c r="D28" s="14">
        <v>31.872607582595467</v>
      </c>
      <c r="E28" s="135">
        <v>1.1176470588235294</v>
      </c>
      <c r="F28" s="135">
        <v>1.1198347107438018</v>
      </c>
      <c r="G28" s="136">
        <v>1.1183673469387754</v>
      </c>
      <c r="H28" s="135">
        <v>1.0552486187845305</v>
      </c>
      <c r="I28" s="135">
        <v>1.0655737704918031</v>
      </c>
      <c r="J28" s="136">
        <v>1.053763440860215</v>
      </c>
      <c r="K28" s="153">
        <f t="shared" si="0"/>
        <v>0.107</v>
      </c>
      <c r="L28" s="153">
        <f t="shared" si="1"/>
        <v>0.121</v>
      </c>
      <c r="M28" s="154">
        <f t="shared" si="2"/>
        <v>0.127</v>
      </c>
      <c r="N28" s="153">
        <f t="shared" si="3"/>
        <v>0.19399999999999998</v>
      </c>
      <c r="O28" s="153">
        <f t="shared" si="4"/>
        <v>0.191</v>
      </c>
      <c r="P28" s="154">
        <f t="shared" si="5"/>
        <v>0.19600000000000001</v>
      </c>
    </row>
    <row r="29" spans="1:16" x14ac:dyDescent="0.25">
      <c r="A29" s="127" t="s">
        <v>29</v>
      </c>
      <c r="B29" s="13">
        <v>20.643965786358716</v>
      </c>
      <c r="C29" s="13">
        <v>24.603112546271717</v>
      </c>
      <c r="D29" s="14">
        <v>19.218375634929625</v>
      </c>
      <c r="E29" s="135">
        <v>0.14285714285714285</v>
      </c>
      <c r="F29" s="135">
        <v>0.15289256198347109</v>
      </c>
      <c r="G29" s="136">
        <v>0.15510204081632653</v>
      </c>
      <c r="H29" s="135">
        <v>0.1602209944751381</v>
      </c>
      <c r="I29" s="135">
        <v>0.17486338797814208</v>
      </c>
      <c r="J29" s="136">
        <v>0.17204301075268816</v>
      </c>
      <c r="K29" s="153">
        <f t="shared" si="0"/>
        <v>0.12300000000000001</v>
      </c>
      <c r="L29" s="153">
        <f t="shared" si="1"/>
        <v>0.13</v>
      </c>
      <c r="M29" s="154">
        <f t="shared" si="2"/>
        <v>0.114</v>
      </c>
      <c r="N29" s="153">
        <f t="shared" si="3"/>
        <v>0.21199999999999999</v>
      </c>
      <c r="O29" s="153">
        <f t="shared" si="4"/>
        <v>0.21</v>
      </c>
      <c r="P29" s="154">
        <f t="shared" si="5"/>
        <v>0.218</v>
      </c>
    </row>
    <row r="30" spans="1:16" ht="15.75" thickBot="1" x14ac:dyDescent="0.3">
      <c r="A30" s="128" t="s">
        <v>48</v>
      </c>
      <c r="B30" s="15">
        <v>23.427238612458638</v>
      </c>
      <c r="C30" s="15">
        <v>19.056197445120681</v>
      </c>
      <c r="D30" s="16">
        <v>18.952267932768002</v>
      </c>
      <c r="E30" s="137">
        <v>0.18067226890756302</v>
      </c>
      <c r="F30" s="137">
        <v>0.18595041322314051</v>
      </c>
      <c r="G30" s="138">
        <v>0.19591836734693877</v>
      </c>
      <c r="H30" s="137">
        <v>0.18232044198895025</v>
      </c>
      <c r="I30" s="137">
        <v>0.18579234972677594</v>
      </c>
      <c r="J30" s="138">
        <v>0.19892473118279569</v>
      </c>
      <c r="K30" s="155">
        <f t="shared" si="0"/>
        <v>6.8000000000000005E-2</v>
      </c>
      <c r="L30" s="155">
        <f t="shared" si="1"/>
        <v>7.0999999999999994E-2</v>
      </c>
      <c r="M30" s="156">
        <f t="shared" si="2"/>
        <v>6.8000000000000005E-2</v>
      </c>
      <c r="N30" s="155">
        <f t="shared" si="3"/>
        <v>0.22600000000000001</v>
      </c>
      <c r="O30" s="155">
        <f t="shared" si="4"/>
        <v>0.22399999999999998</v>
      </c>
      <c r="P30" s="156" t="e">
        <f t="shared" si="5"/>
        <v>#VALUE!</v>
      </c>
    </row>
    <row r="31" spans="1:16" x14ac:dyDescent="0.25">
      <c r="A31" s="22"/>
    </row>
    <row r="32" spans="1:16" x14ac:dyDescent="0.25">
      <c r="A32" s="22"/>
    </row>
    <row r="33" spans="1:11" x14ac:dyDescent="0.25">
      <c r="A33" s="22"/>
    </row>
    <row r="34" spans="1:11" x14ac:dyDescent="0.25">
      <c r="A34" s="22"/>
    </row>
    <row r="35" spans="1:11" x14ac:dyDescent="0.25">
      <c r="A35" s="22"/>
    </row>
    <row r="39" spans="1:11" x14ac:dyDescent="0.25">
      <c r="A39" s="147" t="s">
        <v>660</v>
      </c>
      <c r="B39" s="146"/>
      <c r="C39" s="146"/>
      <c r="D39" s="146"/>
      <c r="E39" s="146"/>
      <c r="F39" s="146"/>
      <c r="G39" s="146"/>
      <c r="H39" s="146"/>
      <c r="I39" s="146"/>
      <c r="J39" s="146"/>
      <c r="K39" s="146"/>
    </row>
    <row r="41" spans="1:11" x14ac:dyDescent="0.25">
      <c r="A41" s="147" t="s">
        <v>661</v>
      </c>
      <c r="B41" s="148">
        <v>42277.33966435185</v>
      </c>
      <c r="C41" s="146"/>
      <c r="D41" s="146"/>
      <c r="E41" s="146"/>
      <c r="F41" s="146"/>
      <c r="G41" s="146"/>
      <c r="H41" s="146"/>
      <c r="I41" s="146"/>
      <c r="J41" s="146"/>
      <c r="K41" s="146"/>
    </row>
    <row r="42" spans="1:11" x14ac:dyDescent="0.25">
      <c r="A42" s="147" t="s">
        <v>662</v>
      </c>
      <c r="B42" s="148">
        <v>42289.678835474537</v>
      </c>
      <c r="C42" s="146"/>
      <c r="D42" s="146"/>
      <c r="E42" s="146"/>
      <c r="F42" s="146"/>
      <c r="G42" s="146"/>
      <c r="H42" s="146"/>
      <c r="I42" s="146"/>
      <c r="J42" s="146"/>
      <c r="K42" s="146"/>
    </row>
    <row r="43" spans="1:11" x14ac:dyDescent="0.25">
      <c r="A43" s="147" t="s">
        <v>663</v>
      </c>
      <c r="B43" s="147" t="s">
        <v>664</v>
      </c>
      <c r="C43" s="146"/>
      <c r="D43" s="146"/>
      <c r="E43" s="146"/>
      <c r="F43" s="146"/>
      <c r="G43" s="146"/>
      <c r="H43" s="146"/>
      <c r="I43" s="146"/>
      <c r="J43" s="146"/>
      <c r="K43" s="146"/>
    </row>
    <row r="45" spans="1:11" x14ac:dyDescent="0.25">
      <c r="A45" s="147" t="s">
        <v>665</v>
      </c>
      <c r="B45" s="147" t="s">
        <v>666</v>
      </c>
      <c r="C45" s="146"/>
      <c r="D45" s="146"/>
      <c r="E45" s="146"/>
      <c r="F45" s="146"/>
      <c r="G45" s="146"/>
      <c r="H45" s="146"/>
      <c r="I45" s="146"/>
      <c r="J45" s="146"/>
      <c r="K45" s="146"/>
    </row>
    <row r="46" spans="1:11" x14ac:dyDescent="0.25">
      <c r="A46" s="147" t="s">
        <v>667</v>
      </c>
      <c r="B46" s="147" t="s">
        <v>668</v>
      </c>
      <c r="C46" s="146"/>
      <c r="D46" s="146"/>
      <c r="E46" s="146"/>
      <c r="F46" s="146"/>
      <c r="G46" s="146"/>
      <c r="H46" s="146"/>
      <c r="I46" s="146"/>
      <c r="J46" s="146"/>
      <c r="K46" s="146"/>
    </row>
    <row r="47" spans="1:11" x14ac:dyDescent="0.25">
      <c r="A47" s="147" t="s">
        <v>669</v>
      </c>
      <c r="B47" s="147" t="s">
        <v>668</v>
      </c>
      <c r="C47" s="146"/>
      <c r="D47" s="146"/>
      <c r="E47" s="146"/>
      <c r="F47" s="146"/>
      <c r="G47" s="146"/>
      <c r="H47" s="146"/>
      <c r="I47" s="146"/>
      <c r="J47" s="146"/>
      <c r="K47" s="146"/>
    </row>
    <row r="49" spans="1:11" x14ac:dyDescent="0.25">
      <c r="A49" s="149" t="s">
        <v>670</v>
      </c>
      <c r="B49" s="149" t="s">
        <v>671</v>
      </c>
      <c r="C49" s="149" t="s">
        <v>672</v>
      </c>
      <c r="D49" s="149" t="s">
        <v>673</v>
      </c>
      <c r="E49" s="149" t="s">
        <v>674</v>
      </c>
      <c r="F49" s="149" t="s">
        <v>675</v>
      </c>
      <c r="G49" s="149" t="s">
        <v>676</v>
      </c>
      <c r="H49" s="149" t="s">
        <v>677</v>
      </c>
      <c r="I49" s="149" t="s">
        <v>678</v>
      </c>
      <c r="J49" s="149" t="s">
        <v>679</v>
      </c>
      <c r="K49" s="149" t="s">
        <v>680</v>
      </c>
    </row>
    <row r="50" spans="1:11" x14ac:dyDescent="0.25">
      <c r="A50" s="149" t="s">
        <v>681</v>
      </c>
      <c r="B50" s="150">
        <v>9</v>
      </c>
      <c r="C50" s="150">
        <v>8.1999999999999993</v>
      </c>
      <c r="D50" s="150">
        <v>7.2</v>
      </c>
      <c r="E50" s="150">
        <v>7</v>
      </c>
      <c r="F50" s="150">
        <v>9</v>
      </c>
      <c r="G50" s="150">
        <v>9.6</v>
      </c>
      <c r="H50" s="150">
        <v>9.6999999999999993</v>
      </c>
      <c r="I50" s="150">
        <v>10.5</v>
      </c>
      <c r="J50" s="150">
        <v>10.9</v>
      </c>
      <c r="K50" s="150">
        <v>10.199999999999999</v>
      </c>
    </row>
    <row r="51" spans="1:11" x14ac:dyDescent="0.25">
      <c r="A51" s="149" t="s">
        <v>682</v>
      </c>
      <c r="B51" s="150">
        <v>9</v>
      </c>
      <c r="C51" s="150">
        <v>8.1999999999999993</v>
      </c>
      <c r="D51" s="150">
        <v>7.2</v>
      </c>
      <c r="E51" s="150">
        <v>7</v>
      </c>
      <c r="F51" s="150">
        <v>9</v>
      </c>
      <c r="G51" s="150">
        <v>9.6</v>
      </c>
      <c r="H51" s="150">
        <v>9.6</v>
      </c>
      <c r="I51" s="150">
        <v>10.4</v>
      </c>
      <c r="J51" s="150">
        <v>10.8</v>
      </c>
      <c r="K51" s="150">
        <v>10.199999999999999</v>
      </c>
    </row>
    <row r="52" spans="1:11" x14ac:dyDescent="0.25">
      <c r="A52" s="149" t="s">
        <v>683</v>
      </c>
      <c r="B52" s="150">
        <v>9.1</v>
      </c>
      <c r="C52" s="150">
        <v>8.3000000000000007</v>
      </c>
      <c r="D52" s="150">
        <v>7.2</v>
      </c>
      <c r="E52" s="150">
        <v>7.1</v>
      </c>
      <c r="F52" s="150">
        <v>9.1</v>
      </c>
      <c r="G52" s="150">
        <v>9.6999999999999993</v>
      </c>
      <c r="H52" s="150">
        <v>9.6999999999999993</v>
      </c>
      <c r="I52" s="150">
        <v>10.6</v>
      </c>
      <c r="J52" s="150">
        <v>10.9</v>
      </c>
      <c r="K52" s="150">
        <v>10.3</v>
      </c>
    </row>
    <row r="53" spans="1:11" x14ac:dyDescent="0.25">
      <c r="A53" s="149" t="s">
        <v>684</v>
      </c>
      <c r="B53" s="150">
        <v>8.1999999999999993</v>
      </c>
      <c r="C53" s="150">
        <v>7.8</v>
      </c>
      <c r="D53" s="150">
        <v>7.1</v>
      </c>
      <c r="E53" s="150">
        <v>7.2</v>
      </c>
      <c r="F53" s="150">
        <v>9.1</v>
      </c>
      <c r="G53" s="150">
        <v>9.6</v>
      </c>
      <c r="H53" s="150">
        <v>9.6</v>
      </c>
      <c r="I53" s="150">
        <v>10.6</v>
      </c>
      <c r="J53" s="150">
        <v>11.1</v>
      </c>
      <c r="K53" s="150">
        <v>10.5</v>
      </c>
    </row>
    <row r="54" spans="1:11" x14ac:dyDescent="0.25">
      <c r="A54" s="149" t="s">
        <v>685</v>
      </c>
      <c r="B54" s="150">
        <v>9</v>
      </c>
      <c r="C54" s="150">
        <v>8.4</v>
      </c>
      <c r="D54" s="150">
        <v>7.5</v>
      </c>
      <c r="E54" s="150">
        <v>7.6</v>
      </c>
      <c r="F54" s="150">
        <v>9.5</v>
      </c>
      <c r="G54" s="150">
        <v>10</v>
      </c>
      <c r="H54" s="150">
        <v>10.1</v>
      </c>
      <c r="I54" s="150">
        <v>11.3</v>
      </c>
      <c r="J54" s="150">
        <v>12</v>
      </c>
      <c r="K54" s="150">
        <v>11.6</v>
      </c>
    </row>
    <row r="55" spans="1:11" x14ac:dyDescent="0.25">
      <c r="A55" s="149" t="s">
        <v>686</v>
      </c>
      <c r="B55" s="150">
        <v>9.1</v>
      </c>
      <c r="C55" s="150">
        <v>8.4</v>
      </c>
      <c r="D55" s="150">
        <v>7.5</v>
      </c>
      <c r="E55" s="150">
        <v>7.6</v>
      </c>
      <c r="F55" s="150">
        <v>9.6</v>
      </c>
      <c r="G55" s="150">
        <v>10.199999999999999</v>
      </c>
      <c r="H55" s="150">
        <v>10.199999999999999</v>
      </c>
      <c r="I55" s="150">
        <v>11.4</v>
      </c>
      <c r="J55" s="150">
        <v>12</v>
      </c>
      <c r="K55" s="150">
        <v>11.6</v>
      </c>
    </row>
    <row r="56" spans="1:11" x14ac:dyDescent="0.25">
      <c r="A56" s="149" t="s">
        <v>687</v>
      </c>
      <c r="B56" s="150">
        <v>9.1</v>
      </c>
      <c r="C56" s="150">
        <v>8.4</v>
      </c>
      <c r="D56" s="150">
        <v>7.5</v>
      </c>
      <c r="E56" s="150">
        <v>7.6</v>
      </c>
      <c r="F56" s="150">
        <v>9.6</v>
      </c>
      <c r="G56" s="150">
        <v>10.1</v>
      </c>
      <c r="H56" s="150">
        <v>10.1</v>
      </c>
      <c r="I56" s="150">
        <v>11.4</v>
      </c>
      <c r="J56" s="150">
        <v>12</v>
      </c>
      <c r="K56" s="150">
        <v>11.6</v>
      </c>
    </row>
    <row r="57" spans="1:11" x14ac:dyDescent="0.25">
      <c r="A57" s="149" t="s">
        <v>688</v>
      </c>
      <c r="B57" s="150">
        <v>9.1</v>
      </c>
      <c r="C57" s="150">
        <v>8.4</v>
      </c>
      <c r="D57" s="150">
        <v>7.5</v>
      </c>
      <c r="E57" s="150">
        <v>7.6</v>
      </c>
      <c r="F57" s="150">
        <v>9.5</v>
      </c>
      <c r="G57" s="150">
        <v>10.1</v>
      </c>
      <c r="H57" s="150">
        <v>10.1</v>
      </c>
      <c r="I57" s="150">
        <v>11.3</v>
      </c>
      <c r="J57" s="150">
        <v>12</v>
      </c>
      <c r="K57" s="150">
        <v>11.6</v>
      </c>
    </row>
    <row r="58" spans="1:11" x14ac:dyDescent="0.25">
      <c r="A58" s="149" t="s">
        <v>689</v>
      </c>
      <c r="B58" s="150">
        <v>9.1</v>
      </c>
      <c r="C58" s="150">
        <v>8.4</v>
      </c>
      <c r="D58" s="150">
        <v>7.6</v>
      </c>
      <c r="E58" s="150">
        <v>7.6</v>
      </c>
      <c r="F58" s="150">
        <v>9.5</v>
      </c>
      <c r="G58" s="150">
        <v>10</v>
      </c>
      <c r="H58" s="150">
        <v>10.1</v>
      </c>
      <c r="I58" s="150">
        <v>11.3</v>
      </c>
      <c r="J58" s="150">
        <v>12</v>
      </c>
      <c r="K58" s="150">
        <v>11.6</v>
      </c>
    </row>
    <row r="59" spans="1:11" x14ac:dyDescent="0.25">
      <c r="A59" s="149" t="s">
        <v>690</v>
      </c>
      <c r="B59" s="150">
        <v>9</v>
      </c>
      <c r="C59" s="150">
        <v>8.4</v>
      </c>
      <c r="D59" s="150">
        <v>7.5</v>
      </c>
      <c r="E59" s="150">
        <v>7.6</v>
      </c>
      <c r="F59" s="150">
        <v>9.5</v>
      </c>
      <c r="G59" s="150">
        <v>10</v>
      </c>
      <c r="H59" s="150">
        <v>10</v>
      </c>
      <c r="I59" s="150">
        <v>11.3</v>
      </c>
      <c r="J59" s="150">
        <v>12</v>
      </c>
      <c r="K59" s="150">
        <v>11.6</v>
      </c>
    </row>
    <row r="60" spans="1:11" x14ac:dyDescent="0.25">
      <c r="A60" s="149" t="s">
        <v>691</v>
      </c>
      <c r="B60" s="150">
        <v>9</v>
      </c>
      <c r="C60" s="150">
        <v>8.4</v>
      </c>
      <c r="D60" s="150">
        <v>7.5</v>
      </c>
      <c r="E60" s="150">
        <v>7.6</v>
      </c>
      <c r="F60" s="150">
        <v>9.5</v>
      </c>
      <c r="G60" s="150">
        <v>10</v>
      </c>
      <c r="H60" s="150">
        <v>10</v>
      </c>
      <c r="I60" s="150">
        <v>11.3</v>
      </c>
      <c r="J60" s="150">
        <v>12</v>
      </c>
      <c r="K60" s="150">
        <v>11.6</v>
      </c>
    </row>
    <row r="61" spans="1:11" x14ac:dyDescent="0.25">
      <c r="A61" s="149" t="s">
        <v>692</v>
      </c>
      <c r="B61" s="150">
        <v>9</v>
      </c>
      <c r="C61" s="150">
        <v>8.4</v>
      </c>
      <c r="D61" s="150">
        <v>7.5</v>
      </c>
      <c r="E61" s="150">
        <v>7.6</v>
      </c>
      <c r="F61" s="150">
        <v>9.5</v>
      </c>
      <c r="G61" s="150">
        <v>10</v>
      </c>
      <c r="H61" s="150">
        <v>10.1</v>
      </c>
      <c r="I61" s="150">
        <v>11.3</v>
      </c>
      <c r="J61" s="150">
        <v>12</v>
      </c>
      <c r="K61" s="150">
        <v>11.6</v>
      </c>
    </row>
    <row r="62" spans="1:11" x14ac:dyDescent="0.25">
      <c r="A62" s="149" t="s">
        <v>1</v>
      </c>
      <c r="B62" s="150">
        <v>8.5</v>
      </c>
      <c r="C62" s="150">
        <v>8.3000000000000007</v>
      </c>
      <c r="D62" s="150">
        <v>7.5</v>
      </c>
      <c r="E62" s="150">
        <v>7</v>
      </c>
      <c r="F62" s="150">
        <v>7.9</v>
      </c>
      <c r="G62" s="150">
        <v>8.3000000000000007</v>
      </c>
      <c r="H62" s="150">
        <v>7.2</v>
      </c>
      <c r="I62" s="150">
        <v>7.6</v>
      </c>
      <c r="J62" s="150">
        <v>8.4</v>
      </c>
      <c r="K62" s="150">
        <v>8.5</v>
      </c>
    </row>
    <row r="63" spans="1:11" x14ac:dyDescent="0.25">
      <c r="A63" s="149" t="s">
        <v>2</v>
      </c>
      <c r="B63" s="150">
        <v>10.1</v>
      </c>
      <c r="C63" s="150">
        <v>9</v>
      </c>
      <c r="D63" s="150">
        <v>6.9</v>
      </c>
      <c r="E63" s="150">
        <v>5.6</v>
      </c>
      <c r="F63" s="150">
        <v>6.8</v>
      </c>
      <c r="G63" s="150">
        <v>10.3</v>
      </c>
      <c r="H63" s="150">
        <v>11.3</v>
      </c>
      <c r="I63" s="150">
        <v>12.3</v>
      </c>
      <c r="J63" s="150">
        <v>13</v>
      </c>
      <c r="K63" s="150">
        <v>11.4</v>
      </c>
    </row>
    <row r="64" spans="1:11" x14ac:dyDescent="0.25">
      <c r="A64" s="149" t="s">
        <v>5</v>
      </c>
      <c r="B64" s="150">
        <v>7.9</v>
      </c>
      <c r="C64" s="150">
        <v>7.1</v>
      </c>
      <c r="D64" s="150">
        <v>5.3</v>
      </c>
      <c r="E64" s="150">
        <v>4.4000000000000004</v>
      </c>
      <c r="F64" s="150">
        <v>6.7</v>
      </c>
      <c r="G64" s="150">
        <v>7.3</v>
      </c>
      <c r="H64" s="150">
        <v>6.7</v>
      </c>
      <c r="I64" s="150">
        <v>7</v>
      </c>
      <c r="J64" s="150">
        <v>7</v>
      </c>
      <c r="K64" s="150">
        <v>6.1</v>
      </c>
    </row>
    <row r="65" spans="1:11" x14ac:dyDescent="0.25">
      <c r="A65" s="149" t="s">
        <v>6</v>
      </c>
      <c r="B65" s="150">
        <v>4.8</v>
      </c>
      <c r="C65" s="150">
        <v>3.9</v>
      </c>
      <c r="D65" s="150">
        <v>3.8</v>
      </c>
      <c r="E65" s="150">
        <v>3.4</v>
      </c>
      <c r="F65" s="150">
        <v>6</v>
      </c>
      <c r="G65" s="150">
        <v>7.5</v>
      </c>
      <c r="H65" s="150">
        <v>7.6</v>
      </c>
      <c r="I65" s="150">
        <v>7.5</v>
      </c>
      <c r="J65" s="150">
        <v>7</v>
      </c>
      <c r="K65" s="150">
        <v>6.6</v>
      </c>
    </row>
    <row r="66" spans="1:11" x14ac:dyDescent="0.25">
      <c r="A66" s="149" t="s">
        <v>10</v>
      </c>
      <c r="B66" s="150">
        <v>11.2</v>
      </c>
      <c r="C66" s="150">
        <v>10.1</v>
      </c>
      <c r="D66" s="150">
        <v>8.5</v>
      </c>
      <c r="E66" s="150">
        <v>7.4</v>
      </c>
      <c r="F66" s="150">
        <v>7.6</v>
      </c>
      <c r="G66" s="150">
        <v>7</v>
      </c>
      <c r="H66" s="150">
        <v>5.8</v>
      </c>
      <c r="I66" s="150">
        <v>5.4</v>
      </c>
      <c r="J66" s="150">
        <v>5.2</v>
      </c>
      <c r="K66" s="150">
        <v>5</v>
      </c>
    </row>
    <row r="67" spans="1:11" x14ac:dyDescent="0.25">
      <c r="A67" s="149" t="s">
        <v>7</v>
      </c>
      <c r="B67" s="150">
        <v>8</v>
      </c>
      <c r="C67" s="150">
        <v>5.9</v>
      </c>
      <c r="D67" s="150">
        <v>4.5999999999999996</v>
      </c>
      <c r="E67" s="150">
        <v>5.5</v>
      </c>
      <c r="F67" s="150">
        <v>13.5</v>
      </c>
      <c r="G67" s="150">
        <v>16.7</v>
      </c>
      <c r="H67" s="150">
        <v>12.3</v>
      </c>
      <c r="I67" s="150">
        <v>10</v>
      </c>
      <c r="J67" s="150">
        <v>8.6</v>
      </c>
      <c r="K67" s="150">
        <v>7.4</v>
      </c>
    </row>
    <row r="68" spans="1:11" x14ac:dyDescent="0.25">
      <c r="A68" s="149" t="s">
        <v>13</v>
      </c>
      <c r="B68" s="150">
        <v>4.4000000000000004</v>
      </c>
      <c r="C68" s="150">
        <v>4.5</v>
      </c>
      <c r="D68" s="150">
        <v>4.7</v>
      </c>
      <c r="E68" s="150">
        <v>6.4</v>
      </c>
      <c r="F68" s="150">
        <v>12</v>
      </c>
      <c r="G68" s="150">
        <v>13.9</v>
      </c>
      <c r="H68" s="150">
        <v>14.7</v>
      </c>
      <c r="I68" s="150">
        <v>14.7</v>
      </c>
      <c r="J68" s="150">
        <v>13.1</v>
      </c>
      <c r="K68" s="150">
        <v>11.3</v>
      </c>
    </row>
    <row r="69" spans="1:11" x14ac:dyDescent="0.25">
      <c r="A69" s="149" t="s">
        <v>11</v>
      </c>
      <c r="B69" s="150">
        <v>10</v>
      </c>
      <c r="C69" s="150">
        <v>9</v>
      </c>
      <c r="D69" s="150">
        <v>8.4</v>
      </c>
      <c r="E69" s="150">
        <v>7.8</v>
      </c>
      <c r="F69" s="150">
        <v>9.6</v>
      </c>
      <c r="G69" s="150">
        <v>12.7</v>
      </c>
      <c r="H69" s="150">
        <v>17.899999999999999</v>
      </c>
      <c r="I69" s="150">
        <v>24.5</v>
      </c>
      <c r="J69" s="150">
        <v>27.5</v>
      </c>
      <c r="K69" s="150">
        <v>26.5</v>
      </c>
    </row>
    <row r="70" spans="1:11" x14ac:dyDescent="0.25">
      <c r="A70" s="149" t="s">
        <v>24</v>
      </c>
      <c r="B70" s="150">
        <v>9.1999999999999993</v>
      </c>
      <c r="C70" s="150">
        <v>8.5</v>
      </c>
      <c r="D70" s="150">
        <v>8.1999999999999993</v>
      </c>
      <c r="E70" s="150">
        <v>11.3</v>
      </c>
      <c r="F70" s="150">
        <v>17.899999999999999</v>
      </c>
      <c r="G70" s="150">
        <v>19.899999999999999</v>
      </c>
      <c r="H70" s="150">
        <v>21.4</v>
      </c>
      <c r="I70" s="150">
        <v>24.8</v>
      </c>
      <c r="J70" s="150">
        <v>26.1</v>
      </c>
      <c r="K70" s="150">
        <v>24.5</v>
      </c>
    </row>
    <row r="71" spans="1:11" x14ac:dyDescent="0.25">
      <c r="A71" s="149" t="s">
        <v>9</v>
      </c>
      <c r="B71" s="150">
        <v>8.9</v>
      </c>
      <c r="C71" s="150">
        <v>8.8000000000000007</v>
      </c>
      <c r="D71" s="150">
        <v>8</v>
      </c>
      <c r="E71" s="150">
        <v>7.4</v>
      </c>
      <c r="F71" s="150">
        <v>9.1</v>
      </c>
      <c r="G71" s="150">
        <v>9.3000000000000007</v>
      </c>
      <c r="H71" s="150">
        <v>9.1999999999999993</v>
      </c>
      <c r="I71" s="150">
        <v>9.8000000000000007</v>
      </c>
      <c r="J71" s="150">
        <v>10.3</v>
      </c>
      <c r="K71" s="150">
        <v>10.3</v>
      </c>
    </row>
    <row r="72" spans="1:11" x14ac:dyDescent="0.25">
      <c r="A72" s="149" t="s">
        <v>3</v>
      </c>
      <c r="B72" s="150">
        <v>13</v>
      </c>
      <c r="C72" s="150">
        <v>11.6</v>
      </c>
      <c r="D72" s="150">
        <v>9.9</v>
      </c>
      <c r="E72" s="150">
        <v>8.6</v>
      </c>
      <c r="F72" s="150">
        <v>9.1999999999999993</v>
      </c>
      <c r="G72" s="150">
        <v>11.7</v>
      </c>
      <c r="H72" s="150">
        <v>13.7</v>
      </c>
      <c r="I72" s="150">
        <v>16</v>
      </c>
      <c r="J72" s="150">
        <v>17.3</v>
      </c>
      <c r="K72" s="150">
        <v>17.3</v>
      </c>
    </row>
    <row r="73" spans="1:11" x14ac:dyDescent="0.25">
      <c r="A73" s="149" t="s">
        <v>14</v>
      </c>
      <c r="B73" s="150">
        <v>7.7</v>
      </c>
      <c r="C73" s="150">
        <v>6.8</v>
      </c>
      <c r="D73" s="150">
        <v>6.1</v>
      </c>
      <c r="E73" s="150">
        <v>6.7</v>
      </c>
      <c r="F73" s="150">
        <v>7.7</v>
      </c>
      <c r="G73" s="150">
        <v>8.4</v>
      </c>
      <c r="H73" s="150">
        <v>8.4</v>
      </c>
      <c r="I73" s="150">
        <v>10.7</v>
      </c>
      <c r="J73" s="150">
        <v>12.1</v>
      </c>
      <c r="K73" s="150">
        <v>12.7</v>
      </c>
    </row>
    <row r="74" spans="1:11" x14ac:dyDescent="0.25">
      <c r="A74" s="149" t="s">
        <v>4</v>
      </c>
      <c r="B74" s="150">
        <v>5.3</v>
      </c>
      <c r="C74" s="150">
        <v>4.5999999999999996</v>
      </c>
      <c r="D74" s="150">
        <v>3.9</v>
      </c>
      <c r="E74" s="150">
        <v>3.7</v>
      </c>
      <c r="F74" s="150">
        <v>5.4</v>
      </c>
      <c r="G74" s="150">
        <v>6.3</v>
      </c>
      <c r="H74" s="150">
        <v>7.9</v>
      </c>
      <c r="I74" s="150">
        <v>11.9</v>
      </c>
      <c r="J74" s="150">
        <v>15.9</v>
      </c>
      <c r="K74" s="150">
        <v>16.100000000000001</v>
      </c>
    </row>
    <row r="75" spans="1:11" x14ac:dyDescent="0.25">
      <c r="A75" s="149" t="s">
        <v>15</v>
      </c>
      <c r="B75" s="150">
        <v>10</v>
      </c>
      <c r="C75" s="150">
        <v>7</v>
      </c>
      <c r="D75" s="150">
        <v>6.1</v>
      </c>
      <c r="E75" s="150">
        <v>7.7</v>
      </c>
      <c r="F75" s="150">
        <v>17.5</v>
      </c>
      <c r="G75" s="150">
        <v>19.5</v>
      </c>
      <c r="H75" s="150">
        <v>16.2</v>
      </c>
      <c r="I75" s="150">
        <v>15</v>
      </c>
      <c r="J75" s="150">
        <v>11.9</v>
      </c>
      <c r="K75" s="150">
        <v>10.8</v>
      </c>
    </row>
    <row r="76" spans="1:11" x14ac:dyDescent="0.25">
      <c r="A76" s="149" t="s">
        <v>16</v>
      </c>
      <c r="B76" s="150">
        <v>8.3000000000000007</v>
      </c>
      <c r="C76" s="150">
        <v>5.8</v>
      </c>
      <c r="D76" s="150">
        <v>4.3</v>
      </c>
      <c r="E76" s="150">
        <v>5.8</v>
      </c>
      <c r="F76" s="150">
        <v>13.8</v>
      </c>
      <c r="G76" s="150">
        <v>17.8</v>
      </c>
      <c r="H76" s="150">
        <v>15.4</v>
      </c>
      <c r="I76" s="150">
        <v>13.4</v>
      </c>
      <c r="J76" s="150">
        <v>11.8</v>
      </c>
      <c r="K76" s="150">
        <v>10.7</v>
      </c>
    </row>
    <row r="77" spans="1:11" x14ac:dyDescent="0.25">
      <c r="A77" s="149" t="s">
        <v>17</v>
      </c>
      <c r="B77" s="150">
        <v>4.5999999999999996</v>
      </c>
      <c r="C77" s="150">
        <v>4.5999999999999996</v>
      </c>
      <c r="D77" s="150">
        <v>4.2</v>
      </c>
      <c r="E77" s="150">
        <v>4.9000000000000004</v>
      </c>
      <c r="F77" s="150">
        <v>5.0999999999999996</v>
      </c>
      <c r="G77" s="150">
        <v>4.5999999999999996</v>
      </c>
      <c r="H77" s="150">
        <v>4.8</v>
      </c>
      <c r="I77" s="150">
        <v>5.0999999999999996</v>
      </c>
      <c r="J77" s="150">
        <v>5.9</v>
      </c>
      <c r="K77" s="150">
        <v>6</v>
      </c>
    </row>
    <row r="78" spans="1:11" x14ac:dyDescent="0.25">
      <c r="A78" s="149" t="s">
        <v>12</v>
      </c>
      <c r="B78" s="150">
        <v>7.2</v>
      </c>
      <c r="C78" s="150">
        <v>7.5</v>
      </c>
      <c r="D78" s="150">
        <v>7.4</v>
      </c>
      <c r="E78" s="150">
        <v>7.8</v>
      </c>
      <c r="F78" s="150">
        <v>10</v>
      </c>
      <c r="G78" s="150">
        <v>11.2</v>
      </c>
      <c r="H78" s="150">
        <v>11</v>
      </c>
      <c r="I78" s="150">
        <v>11</v>
      </c>
      <c r="J78" s="150">
        <v>10.199999999999999</v>
      </c>
      <c r="K78" s="150">
        <v>7.7</v>
      </c>
    </row>
    <row r="79" spans="1:11" x14ac:dyDescent="0.25">
      <c r="A79" s="149" t="s">
        <v>18</v>
      </c>
      <c r="B79" s="150">
        <v>6.9</v>
      </c>
      <c r="C79" s="150">
        <v>6.8</v>
      </c>
      <c r="D79" s="150">
        <v>6.5</v>
      </c>
      <c r="E79" s="150">
        <v>6</v>
      </c>
      <c r="F79" s="150">
        <v>6.9</v>
      </c>
      <c r="G79" s="150">
        <v>6.9</v>
      </c>
      <c r="H79" s="150">
        <v>6.4</v>
      </c>
      <c r="I79" s="150">
        <v>6.3</v>
      </c>
      <c r="J79" s="150">
        <v>6.4</v>
      </c>
      <c r="K79" s="150">
        <v>5.9</v>
      </c>
    </row>
    <row r="80" spans="1:11" x14ac:dyDescent="0.25">
      <c r="A80" s="149" t="s">
        <v>19</v>
      </c>
      <c r="B80" s="150">
        <v>5.9</v>
      </c>
      <c r="C80" s="150">
        <v>5</v>
      </c>
      <c r="D80" s="150">
        <v>4.2</v>
      </c>
      <c r="E80" s="150">
        <v>3.7</v>
      </c>
      <c r="F80" s="150">
        <v>4.4000000000000004</v>
      </c>
      <c r="G80" s="150">
        <v>5</v>
      </c>
      <c r="H80" s="150">
        <v>5</v>
      </c>
      <c r="I80" s="150">
        <v>5.8</v>
      </c>
      <c r="J80" s="150">
        <v>7.3</v>
      </c>
      <c r="K80" s="150">
        <v>7.4</v>
      </c>
    </row>
    <row r="81" spans="1:11" x14ac:dyDescent="0.25">
      <c r="A81" s="149" t="s">
        <v>0</v>
      </c>
      <c r="B81" s="150">
        <v>5.6</v>
      </c>
      <c r="C81" s="150">
        <v>5.3</v>
      </c>
      <c r="D81" s="150">
        <v>4.9000000000000004</v>
      </c>
      <c r="E81" s="150">
        <v>4.0999999999999996</v>
      </c>
      <c r="F81" s="150">
        <v>5.3</v>
      </c>
      <c r="G81" s="150">
        <v>4.8</v>
      </c>
      <c r="H81" s="150">
        <v>4.5999999999999996</v>
      </c>
      <c r="I81" s="150">
        <v>4.9000000000000004</v>
      </c>
      <c r="J81" s="150">
        <v>5.4</v>
      </c>
      <c r="K81" s="150">
        <v>5.6</v>
      </c>
    </row>
    <row r="82" spans="1:11" x14ac:dyDescent="0.25">
      <c r="A82" s="149" t="s">
        <v>20</v>
      </c>
      <c r="B82" s="150">
        <v>17.899999999999999</v>
      </c>
      <c r="C82" s="150">
        <v>13.9</v>
      </c>
      <c r="D82" s="150">
        <v>9.6</v>
      </c>
      <c r="E82" s="150">
        <v>7.1</v>
      </c>
      <c r="F82" s="150">
        <v>8.1</v>
      </c>
      <c r="G82" s="150">
        <v>9.6999999999999993</v>
      </c>
      <c r="H82" s="150">
        <v>9.6999999999999993</v>
      </c>
      <c r="I82" s="150">
        <v>10.1</v>
      </c>
      <c r="J82" s="150">
        <v>10.3</v>
      </c>
      <c r="K82" s="150">
        <v>9</v>
      </c>
    </row>
    <row r="83" spans="1:11" x14ac:dyDescent="0.25">
      <c r="A83" s="149" t="s">
        <v>21</v>
      </c>
      <c r="B83" s="150">
        <v>8.8000000000000007</v>
      </c>
      <c r="C83" s="150">
        <v>8.9</v>
      </c>
      <c r="D83" s="150">
        <v>9.1</v>
      </c>
      <c r="E83" s="150">
        <v>8.8000000000000007</v>
      </c>
      <c r="F83" s="150">
        <v>10.7</v>
      </c>
      <c r="G83" s="150">
        <v>12</v>
      </c>
      <c r="H83" s="150">
        <v>12.9</v>
      </c>
      <c r="I83" s="150">
        <v>15.8</v>
      </c>
      <c r="J83" s="150">
        <v>16.399999999999999</v>
      </c>
      <c r="K83" s="150">
        <v>14.1</v>
      </c>
    </row>
    <row r="84" spans="1:11" x14ac:dyDescent="0.25">
      <c r="A84" s="149" t="s">
        <v>22</v>
      </c>
      <c r="B84" s="150">
        <v>7.1</v>
      </c>
      <c r="C84" s="150">
        <v>7.2</v>
      </c>
      <c r="D84" s="150">
        <v>6.4</v>
      </c>
      <c r="E84" s="150">
        <v>5.6</v>
      </c>
      <c r="F84" s="150">
        <v>6.5</v>
      </c>
      <c r="G84" s="150">
        <v>7</v>
      </c>
      <c r="H84" s="150">
        <v>7.2</v>
      </c>
      <c r="I84" s="150">
        <v>6.8</v>
      </c>
      <c r="J84" s="150">
        <v>7.1</v>
      </c>
      <c r="K84" s="150">
        <v>6.8</v>
      </c>
    </row>
    <row r="85" spans="1:11" x14ac:dyDescent="0.25">
      <c r="A85" s="149" t="s">
        <v>23</v>
      </c>
      <c r="B85" s="150">
        <v>6.5</v>
      </c>
      <c r="C85" s="150">
        <v>6</v>
      </c>
      <c r="D85" s="150">
        <v>4.9000000000000004</v>
      </c>
      <c r="E85" s="150">
        <v>4.4000000000000004</v>
      </c>
      <c r="F85" s="150">
        <v>5.9</v>
      </c>
      <c r="G85" s="150">
        <v>7.3</v>
      </c>
      <c r="H85" s="150">
        <v>8.1999999999999993</v>
      </c>
      <c r="I85" s="150">
        <v>8.9</v>
      </c>
      <c r="J85" s="150">
        <v>10.1</v>
      </c>
      <c r="K85" s="150">
        <v>9.6999999999999993</v>
      </c>
    </row>
    <row r="86" spans="1:11" x14ac:dyDescent="0.25">
      <c r="A86" s="149" t="s">
        <v>55</v>
      </c>
      <c r="B86" s="150">
        <v>16.399999999999999</v>
      </c>
      <c r="C86" s="150">
        <v>13.5</v>
      </c>
      <c r="D86" s="150">
        <v>11.2</v>
      </c>
      <c r="E86" s="150">
        <v>9.6</v>
      </c>
      <c r="F86" s="150">
        <v>12.1</v>
      </c>
      <c r="G86" s="150">
        <v>14.5</v>
      </c>
      <c r="H86" s="150">
        <v>13.7</v>
      </c>
      <c r="I86" s="150">
        <v>14</v>
      </c>
      <c r="J86" s="150">
        <v>14.2</v>
      </c>
      <c r="K86" s="150">
        <v>13.2</v>
      </c>
    </row>
    <row r="87" spans="1:11" x14ac:dyDescent="0.25">
      <c r="A87" s="149" t="s">
        <v>8</v>
      </c>
      <c r="B87" s="150">
        <v>8.4</v>
      </c>
      <c r="C87" s="150">
        <v>7.7</v>
      </c>
      <c r="D87" s="150">
        <v>6.9</v>
      </c>
      <c r="E87" s="150">
        <v>6.4</v>
      </c>
      <c r="F87" s="150">
        <v>8.1999999999999993</v>
      </c>
      <c r="G87" s="150">
        <v>8.4</v>
      </c>
      <c r="H87" s="150">
        <v>7.8</v>
      </c>
      <c r="I87" s="150">
        <v>7.7</v>
      </c>
      <c r="J87" s="150">
        <v>8.1999999999999993</v>
      </c>
      <c r="K87" s="150">
        <v>8.6999999999999993</v>
      </c>
    </row>
    <row r="88" spans="1:11" x14ac:dyDescent="0.25">
      <c r="A88" s="149" t="s">
        <v>25</v>
      </c>
      <c r="B88" s="150">
        <v>7.7</v>
      </c>
      <c r="C88" s="150">
        <v>7.1</v>
      </c>
      <c r="D88" s="150">
        <v>6.1</v>
      </c>
      <c r="E88" s="150">
        <v>6.2</v>
      </c>
      <c r="F88" s="150">
        <v>8.3000000000000007</v>
      </c>
      <c r="G88" s="150">
        <v>8.6</v>
      </c>
      <c r="H88" s="150">
        <v>7.8</v>
      </c>
      <c r="I88" s="150">
        <v>8</v>
      </c>
      <c r="J88" s="150">
        <v>8</v>
      </c>
      <c r="K88" s="150">
        <v>7.9</v>
      </c>
    </row>
    <row r="89" spans="1:11" x14ac:dyDescent="0.25">
      <c r="A89" s="149" t="s">
        <v>26</v>
      </c>
      <c r="B89" s="150">
        <v>4.8</v>
      </c>
      <c r="C89" s="150">
        <v>5.4</v>
      </c>
      <c r="D89" s="150">
        <v>5.3</v>
      </c>
      <c r="E89" s="150">
        <v>5.6</v>
      </c>
      <c r="F89" s="150">
        <v>7.6</v>
      </c>
      <c r="G89" s="150">
        <v>7.8</v>
      </c>
      <c r="H89" s="150">
        <v>8.1</v>
      </c>
      <c r="I89" s="150">
        <v>7.9</v>
      </c>
      <c r="J89" s="150">
        <v>7.6</v>
      </c>
      <c r="K89" s="150">
        <v>6.1</v>
      </c>
    </row>
    <row r="90" spans="1:11" x14ac:dyDescent="0.25">
      <c r="A90" s="149" t="s">
        <v>693</v>
      </c>
      <c r="B90" s="150">
        <v>2.6</v>
      </c>
      <c r="C90" s="150">
        <v>2.9</v>
      </c>
      <c r="D90" s="150">
        <v>2.2999999999999998</v>
      </c>
      <c r="E90" s="150">
        <v>3</v>
      </c>
      <c r="F90" s="150">
        <v>7.2</v>
      </c>
      <c r="G90" s="150">
        <v>7.6</v>
      </c>
      <c r="H90" s="150">
        <v>7.1</v>
      </c>
      <c r="I90" s="150">
        <v>6</v>
      </c>
      <c r="J90" s="150">
        <v>5.4</v>
      </c>
      <c r="K90" s="150">
        <v>5</v>
      </c>
    </row>
    <row r="91" spans="1:11" x14ac:dyDescent="0.25">
      <c r="A91" s="149" t="s">
        <v>694</v>
      </c>
      <c r="B91" s="150">
        <v>4.5</v>
      </c>
      <c r="C91" s="150">
        <v>3.4</v>
      </c>
      <c r="D91" s="150">
        <v>2.5</v>
      </c>
      <c r="E91" s="150">
        <v>2.5</v>
      </c>
      <c r="F91" s="150">
        <v>3.2</v>
      </c>
      <c r="G91" s="150">
        <v>3.6</v>
      </c>
      <c r="H91" s="150">
        <v>3.3</v>
      </c>
      <c r="I91" s="150">
        <v>3.2</v>
      </c>
      <c r="J91" s="150">
        <v>3.5</v>
      </c>
      <c r="K91" s="150">
        <v>3.5</v>
      </c>
    </row>
    <row r="92" spans="1:11" x14ac:dyDescent="0.25">
      <c r="A92" s="149" t="s">
        <v>695</v>
      </c>
      <c r="B92" s="150">
        <v>9.5</v>
      </c>
      <c r="C92" s="150">
        <v>9</v>
      </c>
      <c r="D92" s="150">
        <v>9.1</v>
      </c>
      <c r="E92" s="150">
        <v>10</v>
      </c>
      <c r="F92" s="150">
        <v>13</v>
      </c>
      <c r="G92" s="150">
        <v>11.1</v>
      </c>
      <c r="H92" s="150">
        <v>9.1</v>
      </c>
      <c r="I92" s="150">
        <v>8.4</v>
      </c>
      <c r="J92" s="150">
        <v>9</v>
      </c>
      <c r="K92" s="150">
        <v>9.9</v>
      </c>
    </row>
    <row r="93" spans="1:11" x14ac:dyDescent="0.25">
      <c r="A93" s="149" t="s">
        <v>696</v>
      </c>
      <c r="B93" s="150">
        <v>5.0999999999999996</v>
      </c>
      <c r="C93" s="150">
        <v>4.5999999999999996</v>
      </c>
      <c r="D93" s="150">
        <v>4.5999999999999996</v>
      </c>
      <c r="E93" s="150">
        <v>5.8</v>
      </c>
      <c r="F93" s="150">
        <v>9.3000000000000007</v>
      </c>
      <c r="G93" s="150">
        <v>9.6</v>
      </c>
      <c r="H93" s="150">
        <v>8.9</v>
      </c>
      <c r="I93" s="150">
        <v>8.1</v>
      </c>
      <c r="J93" s="150">
        <v>7.4</v>
      </c>
      <c r="K93" s="150">
        <v>6.2</v>
      </c>
    </row>
    <row r="94" spans="1:11" x14ac:dyDescent="0.25">
      <c r="A94" s="149" t="s">
        <v>697</v>
      </c>
      <c r="B94" s="150">
        <v>4.4000000000000004</v>
      </c>
      <c r="C94" s="150">
        <v>4.0999999999999996</v>
      </c>
      <c r="D94" s="150">
        <v>3.8</v>
      </c>
      <c r="E94" s="150">
        <v>4</v>
      </c>
      <c r="F94" s="150">
        <v>5.0999999999999996</v>
      </c>
      <c r="G94" s="150">
        <v>5</v>
      </c>
      <c r="H94" s="150">
        <v>4.5999999999999996</v>
      </c>
      <c r="I94" s="150">
        <v>4.3</v>
      </c>
      <c r="J94" s="150">
        <v>4</v>
      </c>
      <c r="K94" s="150">
        <v>3.6</v>
      </c>
    </row>
    <row r="96" spans="1:11" x14ac:dyDescent="0.25">
      <c r="A96" s="147" t="s">
        <v>698</v>
      </c>
      <c r="B96" s="146"/>
      <c r="C96" s="146"/>
      <c r="D96" s="146"/>
      <c r="E96" s="146"/>
      <c r="F96" s="146"/>
      <c r="G96" s="146"/>
      <c r="H96" s="146"/>
      <c r="I96" s="146"/>
      <c r="J96" s="146"/>
      <c r="K96" s="146"/>
    </row>
    <row r="97" spans="1:11" x14ac:dyDescent="0.25">
      <c r="A97" s="147" t="s">
        <v>699</v>
      </c>
      <c r="B97" s="147" t="s">
        <v>700</v>
      </c>
      <c r="C97" s="146"/>
      <c r="D97" s="146"/>
      <c r="E97" s="146"/>
      <c r="F97" s="146"/>
      <c r="G97" s="146"/>
      <c r="H97" s="146"/>
      <c r="I97" s="146"/>
      <c r="J97" s="146"/>
      <c r="K97" s="146"/>
    </row>
    <row r="103" spans="1:11" x14ac:dyDescent="0.25">
      <c r="A103" s="157" t="s">
        <v>701</v>
      </c>
    </row>
    <row r="105" spans="1:11" x14ac:dyDescent="0.25">
      <c r="A105" s="157" t="s">
        <v>661</v>
      </c>
      <c r="B105" s="158">
        <v>42262.473877314813</v>
      </c>
    </row>
    <row r="106" spans="1:11" x14ac:dyDescent="0.25">
      <c r="A106" s="157" t="s">
        <v>662</v>
      </c>
      <c r="B106" s="158">
        <v>42289.685263252315</v>
      </c>
    </row>
    <row r="107" spans="1:11" x14ac:dyDescent="0.25">
      <c r="A107" s="157" t="s">
        <v>663</v>
      </c>
      <c r="B107" s="157" t="s">
        <v>664</v>
      </c>
    </row>
    <row r="109" spans="1:11" x14ac:dyDescent="0.25">
      <c r="A109" s="157" t="s">
        <v>702</v>
      </c>
      <c r="B109" s="157" t="s">
        <v>703</v>
      </c>
    </row>
    <row r="110" spans="1:11" x14ac:dyDescent="0.25">
      <c r="A110" s="157" t="s">
        <v>704</v>
      </c>
      <c r="B110" s="157" t="s">
        <v>705</v>
      </c>
    </row>
    <row r="111" spans="1:11" x14ac:dyDescent="0.25">
      <c r="A111" s="157" t="s">
        <v>669</v>
      </c>
      <c r="B111" s="157" t="s">
        <v>668</v>
      </c>
    </row>
    <row r="112" spans="1:11" x14ac:dyDescent="0.25">
      <c r="A112" s="157" t="s">
        <v>667</v>
      </c>
      <c r="B112" s="157" t="s">
        <v>668</v>
      </c>
    </row>
    <row r="114" spans="1:11" x14ac:dyDescent="0.25">
      <c r="A114" s="159" t="s">
        <v>670</v>
      </c>
      <c r="B114" s="159" t="s">
        <v>671</v>
      </c>
      <c r="C114" s="159" t="s">
        <v>672</v>
      </c>
      <c r="D114" s="159" t="s">
        <v>673</v>
      </c>
      <c r="E114" s="159" t="s">
        <v>674</v>
      </c>
      <c r="F114" s="159" t="s">
        <v>675</v>
      </c>
      <c r="G114" s="159" t="s">
        <v>676</v>
      </c>
      <c r="H114" s="159" t="s">
        <v>677</v>
      </c>
      <c r="I114" s="159" t="s">
        <v>678</v>
      </c>
      <c r="J114" s="159" t="s">
        <v>679</v>
      </c>
      <c r="K114" s="159" t="s">
        <v>680</v>
      </c>
    </row>
    <row r="115" spans="1:11" x14ac:dyDescent="0.25">
      <c r="A115" s="159" t="s">
        <v>681</v>
      </c>
      <c r="B115" s="160" t="s">
        <v>699</v>
      </c>
      <c r="C115" s="160" t="s">
        <v>699</v>
      </c>
      <c r="D115" s="160" t="s">
        <v>699</v>
      </c>
      <c r="E115" s="160" t="s">
        <v>699</v>
      </c>
      <c r="F115" s="160" t="s">
        <v>699</v>
      </c>
      <c r="G115" s="161">
        <v>16.399999999999999</v>
      </c>
      <c r="H115" s="161">
        <v>16.8</v>
      </c>
      <c r="I115" s="161">
        <v>16.8</v>
      </c>
      <c r="J115" s="161">
        <v>16.600000000000001</v>
      </c>
      <c r="K115" s="160" t="s">
        <v>699</v>
      </c>
    </row>
    <row r="116" spans="1:11" x14ac:dyDescent="0.25">
      <c r="A116" s="159" t="s">
        <v>682</v>
      </c>
      <c r="B116" s="161">
        <v>16.399999999999999</v>
      </c>
      <c r="C116" s="161">
        <v>16.5</v>
      </c>
      <c r="D116" s="161">
        <v>16.5</v>
      </c>
      <c r="E116" s="161">
        <v>16.600000000000001</v>
      </c>
      <c r="F116" s="161">
        <v>16.399999999999999</v>
      </c>
      <c r="G116" s="161">
        <v>16.399999999999999</v>
      </c>
      <c r="H116" s="161">
        <v>16.8</v>
      </c>
      <c r="I116" s="161">
        <v>16.8</v>
      </c>
      <c r="J116" s="161">
        <v>16.600000000000001</v>
      </c>
      <c r="K116" s="160" t="s">
        <v>699</v>
      </c>
    </row>
    <row r="117" spans="1:11" x14ac:dyDescent="0.25">
      <c r="A117" s="159" t="s">
        <v>683</v>
      </c>
      <c r="B117" s="160" t="s">
        <v>699</v>
      </c>
      <c r="C117" s="160" t="s">
        <v>699</v>
      </c>
      <c r="D117" s="160" t="s">
        <v>699</v>
      </c>
      <c r="E117" s="160" t="s">
        <v>699</v>
      </c>
      <c r="F117" s="160" t="s">
        <v>699</v>
      </c>
      <c r="G117" s="160" t="s">
        <v>699</v>
      </c>
      <c r="H117" s="160" t="s">
        <v>699</v>
      </c>
      <c r="I117" s="160" t="s">
        <v>699</v>
      </c>
      <c r="J117" s="160" t="s">
        <v>699</v>
      </c>
      <c r="K117" s="160" t="s">
        <v>699</v>
      </c>
    </row>
    <row r="118" spans="1:11" x14ac:dyDescent="0.25">
      <c r="A118" s="159" t="s">
        <v>684</v>
      </c>
      <c r="B118" s="161">
        <v>15.7</v>
      </c>
      <c r="C118" s="161">
        <v>16</v>
      </c>
      <c r="D118" s="161">
        <v>16</v>
      </c>
      <c r="E118" s="161">
        <v>16.399999999999999</v>
      </c>
      <c r="F118" s="161">
        <v>16.2</v>
      </c>
      <c r="G118" s="161">
        <v>16.3</v>
      </c>
      <c r="H118" s="161">
        <v>16.600000000000001</v>
      </c>
      <c r="I118" s="161">
        <v>16.600000000000001</v>
      </c>
      <c r="J118" s="161">
        <v>16.399999999999999</v>
      </c>
      <c r="K118" s="160" t="s">
        <v>699</v>
      </c>
    </row>
    <row r="119" spans="1:11" x14ac:dyDescent="0.25">
      <c r="A119" s="159" t="s">
        <v>706</v>
      </c>
      <c r="B119" s="161">
        <v>18.899999999999999</v>
      </c>
      <c r="C119" s="161">
        <v>18.5</v>
      </c>
      <c r="D119" s="161">
        <v>18.2</v>
      </c>
      <c r="E119" s="161">
        <v>17.3</v>
      </c>
      <c r="F119" s="161">
        <v>17.100000000000001</v>
      </c>
      <c r="G119" s="161">
        <v>16.899999999999999</v>
      </c>
      <c r="H119" s="161">
        <v>17.5</v>
      </c>
      <c r="I119" s="161">
        <v>17.3</v>
      </c>
      <c r="J119" s="161">
        <v>17.3</v>
      </c>
      <c r="K119" s="160" t="s">
        <v>699</v>
      </c>
    </row>
    <row r="120" spans="1:11" x14ac:dyDescent="0.25">
      <c r="A120" s="159" t="s">
        <v>707</v>
      </c>
      <c r="B120" s="160" t="s">
        <v>699</v>
      </c>
      <c r="C120" s="160" t="s">
        <v>699</v>
      </c>
      <c r="D120" s="160" t="s">
        <v>699</v>
      </c>
      <c r="E120" s="160" t="s">
        <v>699</v>
      </c>
      <c r="F120" s="160" t="s">
        <v>699</v>
      </c>
      <c r="G120" s="160" t="s">
        <v>699</v>
      </c>
      <c r="H120" s="160" t="s">
        <v>699</v>
      </c>
      <c r="I120" s="160" t="s">
        <v>699</v>
      </c>
      <c r="J120" s="160" t="s">
        <v>699</v>
      </c>
      <c r="K120" s="160" t="s">
        <v>699</v>
      </c>
    </row>
    <row r="121" spans="1:11" x14ac:dyDescent="0.25">
      <c r="A121" s="159" t="s">
        <v>687</v>
      </c>
      <c r="B121" s="161">
        <v>15.3</v>
      </c>
      <c r="C121" s="161">
        <v>15.6</v>
      </c>
      <c r="D121" s="161">
        <v>16.3</v>
      </c>
      <c r="E121" s="161">
        <v>16.100000000000001</v>
      </c>
      <c r="F121" s="161">
        <v>16.100000000000001</v>
      </c>
      <c r="G121" s="161">
        <v>16.2</v>
      </c>
      <c r="H121" s="161">
        <v>16.7</v>
      </c>
      <c r="I121" s="161">
        <v>16.8</v>
      </c>
      <c r="J121" s="161">
        <v>16.600000000000001</v>
      </c>
      <c r="K121" s="160" t="s">
        <v>699</v>
      </c>
    </row>
    <row r="122" spans="1:11" x14ac:dyDescent="0.25">
      <c r="A122" s="159" t="s">
        <v>688</v>
      </c>
      <c r="B122" s="161">
        <v>15.3</v>
      </c>
      <c r="C122" s="161">
        <v>15.5</v>
      </c>
      <c r="D122" s="161">
        <v>16.3</v>
      </c>
      <c r="E122" s="161">
        <v>16.100000000000001</v>
      </c>
      <c r="F122" s="161">
        <v>16.100000000000001</v>
      </c>
      <c r="G122" s="161">
        <v>16.2</v>
      </c>
      <c r="H122" s="161">
        <v>16.7</v>
      </c>
      <c r="I122" s="161">
        <v>16.8</v>
      </c>
      <c r="J122" s="161">
        <v>16.600000000000001</v>
      </c>
      <c r="K122" s="160" t="s">
        <v>699</v>
      </c>
    </row>
    <row r="123" spans="1:11" x14ac:dyDescent="0.25">
      <c r="A123" s="159" t="s">
        <v>1</v>
      </c>
      <c r="B123" s="161">
        <v>14.8</v>
      </c>
      <c r="C123" s="161">
        <v>14.7</v>
      </c>
      <c r="D123" s="161">
        <v>15.2</v>
      </c>
      <c r="E123" s="161">
        <v>14.7</v>
      </c>
      <c r="F123" s="161">
        <v>14.6</v>
      </c>
      <c r="G123" s="161">
        <v>14.6</v>
      </c>
      <c r="H123" s="161">
        <v>15.3</v>
      </c>
      <c r="I123" s="161">
        <v>15.3</v>
      </c>
      <c r="J123" s="161">
        <v>15.1</v>
      </c>
      <c r="K123" s="161">
        <v>15.5</v>
      </c>
    </row>
    <row r="124" spans="1:11" x14ac:dyDescent="0.25">
      <c r="A124" s="159" t="s">
        <v>2</v>
      </c>
      <c r="B124" s="162">
        <v>14</v>
      </c>
      <c r="C124" s="161">
        <v>18.399999999999999</v>
      </c>
      <c r="D124" s="161">
        <v>22</v>
      </c>
      <c r="E124" s="161">
        <v>21.4</v>
      </c>
      <c r="F124" s="161">
        <v>21.8</v>
      </c>
      <c r="G124" s="161">
        <v>20.7</v>
      </c>
      <c r="H124" s="161">
        <v>22.2</v>
      </c>
      <c r="I124" s="161">
        <v>21.2</v>
      </c>
      <c r="J124" s="161">
        <v>21</v>
      </c>
      <c r="K124" s="161">
        <v>21.8</v>
      </c>
    </row>
    <row r="125" spans="1:11" x14ac:dyDescent="0.25">
      <c r="A125" s="159" t="s">
        <v>5</v>
      </c>
      <c r="B125" s="161">
        <v>10.4</v>
      </c>
      <c r="C125" s="161">
        <v>9.9</v>
      </c>
      <c r="D125" s="161">
        <v>9.6</v>
      </c>
      <c r="E125" s="161">
        <v>9</v>
      </c>
      <c r="F125" s="161">
        <v>8.6</v>
      </c>
      <c r="G125" s="161">
        <v>9</v>
      </c>
      <c r="H125" s="161">
        <v>9.8000000000000007</v>
      </c>
      <c r="I125" s="161">
        <v>9.6</v>
      </c>
      <c r="J125" s="161">
        <v>8.6</v>
      </c>
      <c r="K125" s="160" t="s">
        <v>699</v>
      </c>
    </row>
    <row r="126" spans="1:11" x14ac:dyDescent="0.25">
      <c r="A126" s="159" t="s">
        <v>6</v>
      </c>
      <c r="B126" s="161">
        <v>11.8</v>
      </c>
      <c r="C126" s="161">
        <v>11.7</v>
      </c>
      <c r="D126" s="161">
        <v>11.7</v>
      </c>
      <c r="E126" s="161">
        <v>11.8</v>
      </c>
      <c r="F126" s="161">
        <v>13.1</v>
      </c>
      <c r="G126" s="161">
        <v>13.3</v>
      </c>
      <c r="H126" s="161">
        <v>13</v>
      </c>
      <c r="I126" s="161">
        <v>13.1</v>
      </c>
      <c r="J126" s="161">
        <v>12.3</v>
      </c>
      <c r="K126" s="161">
        <v>11.9</v>
      </c>
    </row>
    <row r="127" spans="1:11" x14ac:dyDescent="0.25">
      <c r="A127" s="159" t="s">
        <v>10</v>
      </c>
      <c r="B127" s="161">
        <v>12.2</v>
      </c>
      <c r="C127" s="161">
        <v>12.5</v>
      </c>
      <c r="D127" s="161">
        <v>15.2</v>
      </c>
      <c r="E127" s="161">
        <v>15.2</v>
      </c>
      <c r="F127" s="161">
        <v>15.5</v>
      </c>
      <c r="G127" s="161">
        <v>15.6</v>
      </c>
      <c r="H127" s="161">
        <v>15.8</v>
      </c>
      <c r="I127" s="161">
        <v>16.100000000000001</v>
      </c>
      <c r="J127" s="161">
        <v>16.100000000000001</v>
      </c>
      <c r="K127" s="160" t="s">
        <v>699</v>
      </c>
    </row>
    <row r="128" spans="1:11" x14ac:dyDescent="0.25">
      <c r="A128" s="159" t="s">
        <v>7</v>
      </c>
      <c r="B128" s="161">
        <v>18.3</v>
      </c>
      <c r="C128" s="161">
        <v>18.3</v>
      </c>
      <c r="D128" s="161">
        <v>19.399999999999999</v>
      </c>
      <c r="E128" s="161">
        <v>19.5</v>
      </c>
      <c r="F128" s="161">
        <v>19.7</v>
      </c>
      <c r="G128" s="161">
        <v>15.8</v>
      </c>
      <c r="H128" s="161">
        <v>17.5</v>
      </c>
      <c r="I128" s="161">
        <v>17.5</v>
      </c>
      <c r="J128" s="161">
        <v>18.600000000000001</v>
      </c>
      <c r="K128" s="160" t="s">
        <v>699</v>
      </c>
    </row>
    <row r="129" spans="1:11" x14ac:dyDescent="0.25">
      <c r="A129" s="159" t="s">
        <v>13</v>
      </c>
      <c r="B129" s="161">
        <v>19.7</v>
      </c>
      <c r="C129" s="161">
        <v>18.5</v>
      </c>
      <c r="D129" s="161">
        <v>17.2</v>
      </c>
      <c r="E129" s="161">
        <v>15.5</v>
      </c>
      <c r="F129" s="161">
        <v>15</v>
      </c>
      <c r="G129" s="161">
        <v>15.2</v>
      </c>
      <c r="H129" s="161">
        <v>15.2</v>
      </c>
      <c r="I129" s="161">
        <v>15.7</v>
      </c>
      <c r="J129" s="161">
        <v>14.1</v>
      </c>
      <c r="K129" s="160" t="s">
        <v>699</v>
      </c>
    </row>
    <row r="130" spans="1:11" x14ac:dyDescent="0.25">
      <c r="A130" s="159" t="s">
        <v>11</v>
      </c>
      <c r="B130" s="161">
        <v>19.600000000000001</v>
      </c>
      <c r="C130" s="161">
        <v>20.5</v>
      </c>
      <c r="D130" s="161">
        <v>20.3</v>
      </c>
      <c r="E130" s="161">
        <v>20.100000000000001</v>
      </c>
      <c r="F130" s="161">
        <v>19.7</v>
      </c>
      <c r="G130" s="161">
        <v>20.100000000000001</v>
      </c>
      <c r="H130" s="161">
        <v>21.4</v>
      </c>
      <c r="I130" s="161">
        <v>23.1</v>
      </c>
      <c r="J130" s="161">
        <v>23.1</v>
      </c>
      <c r="K130" s="161">
        <v>22.1</v>
      </c>
    </row>
    <row r="131" spans="1:11" x14ac:dyDescent="0.25">
      <c r="A131" s="159" t="s">
        <v>24</v>
      </c>
      <c r="B131" s="161">
        <v>20.100000000000001</v>
      </c>
      <c r="C131" s="161">
        <v>20.3</v>
      </c>
      <c r="D131" s="161">
        <v>19.7</v>
      </c>
      <c r="E131" s="161">
        <v>20.8</v>
      </c>
      <c r="F131" s="161">
        <v>20.399999999999999</v>
      </c>
      <c r="G131" s="161">
        <v>20.7</v>
      </c>
      <c r="H131" s="161">
        <v>20.6</v>
      </c>
      <c r="I131" s="161">
        <v>20.8</v>
      </c>
      <c r="J131" s="161">
        <v>20.399999999999999</v>
      </c>
      <c r="K131" s="161">
        <v>22.2</v>
      </c>
    </row>
    <row r="132" spans="1:11" x14ac:dyDescent="0.25">
      <c r="A132" s="159" t="s">
        <v>9</v>
      </c>
      <c r="B132" s="161">
        <v>13</v>
      </c>
      <c r="C132" s="161">
        <v>13.2</v>
      </c>
      <c r="D132" s="161">
        <v>13.1</v>
      </c>
      <c r="E132" s="161">
        <v>12.5</v>
      </c>
      <c r="F132" s="161">
        <v>12.9</v>
      </c>
      <c r="G132" s="161">
        <v>13.3</v>
      </c>
      <c r="H132" s="161">
        <v>14</v>
      </c>
      <c r="I132" s="161">
        <v>14.1</v>
      </c>
      <c r="J132" s="161">
        <v>13.7</v>
      </c>
      <c r="K132" s="160" t="s">
        <v>699</v>
      </c>
    </row>
    <row r="133" spans="1:11" x14ac:dyDescent="0.25">
      <c r="A133" s="159" t="s">
        <v>3</v>
      </c>
      <c r="B133" s="162">
        <v>18</v>
      </c>
      <c r="C133" s="162">
        <v>17</v>
      </c>
      <c r="D133" s="162">
        <v>18</v>
      </c>
      <c r="E133" s="161">
        <v>17.3</v>
      </c>
      <c r="F133" s="161">
        <v>17.899999999999999</v>
      </c>
      <c r="G133" s="161">
        <v>20.6</v>
      </c>
      <c r="H133" s="161">
        <v>20.9</v>
      </c>
      <c r="I133" s="161">
        <v>20.399999999999999</v>
      </c>
      <c r="J133" s="161">
        <v>19.5</v>
      </c>
      <c r="K133" s="160" t="s">
        <v>699</v>
      </c>
    </row>
    <row r="134" spans="1:11" x14ac:dyDescent="0.25">
      <c r="A134" s="159" t="s">
        <v>14</v>
      </c>
      <c r="B134" s="161">
        <v>18.899999999999999</v>
      </c>
      <c r="C134" s="161">
        <v>19.600000000000001</v>
      </c>
      <c r="D134" s="161">
        <v>19.8</v>
      </c>
      <c r="E134" s="161">
        <v>18.7</v>
      </c>
      <c r="F134" s="161">
        <v>18.399999999999999</v>
      </c>
      <c r="G134" s="161">
        <v>18.2</v>
      </c>
      <c r="H134" s="161">
        <v>19.600000000000001</v>
      </c>
      <c r="I134" s="161">
        <v>19.399999999999999</v>
      </c>
      <c r="J134" s="161">
        <v>19.100000000000001</v>
      </c>
      <c r="K134" s="161">
        <v>19.600000000000001</v>
      </c>
    </row>
    <row r="135" spans="1:11" x14ac:dyDescent="0.25">
      <c r="A135" s="159" t="s">
        <v>4</v>
      </c>
      <c r="B135" s="161">
        <v>16.100000000000001</v>
      </c>
      <c r="C135" s="161">
        <v>15.6</v>
      </c>
      <c r="D135" s="161">
        <v>15.5</v>
      </c>
      <c r="E135" s="161">
        <v>15.9</v>
      </c>
      <c r="F135" s="161">
        <v>15.8</v>
      </c>
      <c r="G135" s="161">
        <v>15.6</v>
      </c>
      <c r="H135" s="161">
        <v>14.8</v>
      </c>
      <c r="I135" s="161">
        <v>14.7</v>
      </c>
      <c r="J135" s="161">
        <v>15.3</v>
      </c>
      <c r="K135" s="160" t="s">
        <v>699</v>
      </c>
    </row>
    <row r="136" spans="1:11" x14ac:dyDescent="0.25">
      <c r="A136" s="159" t="s">
        <v>15</v>
      </c>
      <c r="B136" s="161">
        <v>19.399999999999999</v>
      </c>
      <c r="C136" s="161">
        <v>23.5</v>
      </c>
      <c r="D136" s="161">
        <v>21.2</v>
      </c>
      <c r="E136" s="161">
        <v>25.9</v>
      </c>
      <c r="F136" s="161">
        <v>26.4</v>
      </c>
      <c r="G136" s="161">
        <v>20.9</v>
      </c>
      <c r="H136" s="161">
        <v>19</v>
      </c>
      <c r="I136" s="161">
        <v>19.2</v>
      </c>
      <c r="J136" s="161">
        <v>19.399999999999999</v>
      </c>
      <c r="K136" s="161">
        <v>21.2</v>
      </c>
    </row>
    <row r="137" spans="1:11" x14ac:dyDescent="0.25">
      <c r="A137" s="159" t="s">
        <v>16</v>
      </c>
      <c r="B137" s="161">
        <v>20.5</v>
      </c>
      <c r="C137" s="161">
        <v>20</v>
      </c>
      <c r="D137" s="161">
        <v>19.100000000000001</v>
      </c>
      <c r="E137" s="161">
        <v>20.9</v>
      </c>
      <c r="F137" s="161">
        <v>20.3</v>
      </c>
      <c r="G137" s="161">
        <v>20.5</v>
      </c>
      <c r="H137" s="161">
        <v>19.2</v>
      </c>
      <c r="I137" s="161">
        <v>18.600000000000001</v>
      </c>
      <c r="J137" s="161">
        <v>20.6</v>
      </c>
      <c r="K137" s="161">
        <v>19.100000000000001</v>
      </c>
    </row>
    <row r="138" spans="1:11" x14ac:dyDescent="0.25">
      <c r="A138" s="159" t="s">
        <v>17</v>
      </c>
      <c r="B138" s="161">
        <v>13.7</v>
      </c>
      <c r="C138" s="161">
        <v>14.1</v>
      </c>
      <c r="D138" s="161">
        <v>13.5</v>
      </c>
      <c r="E138" s="161">
        <v>13.4</v>
      </c>
      <c r="F138" s="161">
        <v>14.9</v>
      </c>
      <c r="G138" s="161">
        <v>14.5</v>
      </c>
      <c r="H138" s="161">
        <v>13.6</v>
      </c>
      <c r="I138" s="161">
        <v>15.1</v>
      </c>
      <c r="J138" s="161">
        <v>15.9</v>
      </c>
      <c r="K138" s="160" t="s">
        <v>699</v>
      </c>
    </row>
    <row r="139" spans="1:11" x14ac:dyDescent="0.25">
      <c r="A139" s="159" t="s">
        <v>12</v>
      </c>
      <c r="B139" s="161">
        <v>13.5</v>
      </c>
      <c r="C139" s="161">
        <v>15.9</v>
      </c>
      <c r="D139" s="161">
        <v>12.3</v>
      </c>
      <c r="E139" s="161">
        <v>12.4</v>
      </c>
      <c r="F139" s="161">
        <v>12.4</v>
      </c>
      <c r="G139" s="161">
        <v>12.3</v>
      </c>
      <c r="H139" s="161">
        <v>13.8</v>
      </c>
      <c r="I139" s="161">
        <v>14</v>
      </c>
      <c r="J139" s="161">
        <v>14.3</v>
      </c>
      <c r="K139" s="161">
        <v>14.6</v>
      </c>
    </row>
    <row r="140" spans="1:11" x14ac:dyDescent="0.25">
      <c r="A140" s="159" t="s">
        <v>18</v>
      </c>
      <c r="B140" s="161">
        <v>14.3</v>
      </c>
      <c r="C140" s="161">
        <v>14.2</v>
      </c>
      <c r="D140" s="161">
        <v>15.1</v>
      </c>
      <c r="E140" s="161">
        <v>15.3</v>
      </c>
      <c r="F140" s="161">
        <v>14.9</v>
      </c>
      <c r="G140" s="161">
        <v>15.5</v>
      </c>
      <c r="H140" s="161">
        <v>15.6</v>
      </c>
      <c r="I140" s="161">
        <v>15.1</v>
      </c>
      <c r="J140" s="161">
        <v>15.7</v>
      </c>
      <c r="K140" s="161">
        <v>15.9</v>
      </c>
    </row>
    <row r="141" spans="1:11" x14ac:dyDescent="0.25">
      <c r="A141" s="159" t="s">
        <v>19</v>
      </c>
      <c r="B141" s="161">
        <v>10.7</v>
      </c>
      <c r="C141" s="161">
        <v>9.6999999999999993</v>
      </c>
      <c r="D141" s="161">
        <v>10.199999999999999</v>
      </c>
      <c r="E141" s="161">
        <v>10.5</v>
      </c>
      <c r="F141" s="161">
        <v>11.1</v>
      </c>
      <c r="G141" s="161">
        <v>10.3</v>
      </c>
      <c r="H141" s="161">
        <v>11</v>
      </c>
      <c r="I141" s="161">
        <v>10.1</v>
      </c>
      <c r="J141" s="161">
        <v>10.4</v>
      </c>
      <c r="K141" s="160" t="s">
        <v>699</v>
      </c>
    </row>
    <row r="142" spans="1:11" x14ac:dyDescent="0.25">
      <c r="A142" s="159" t="s">
        <v>0</v>
      </c>
      <c r="B142" s="161">
        <v>12.6</v>
      </c>
      <c r="C142" s="161">
        <v>12.6</v>
      </c>
      <c r="D142" s="161">
        <v>12</v>
      </c>
      <c r="E142" s="161">
        <v>15.2</v>
      </c>
      <c r="F142" s="161">
        <v>14.5</v>
      </c>
      <c r="G142" s="161">
        <v>14.7</v>
      </c>
      <c r="H142" s="161">
        <v>14.5</v>
      </c>
      <c r="I142" s="161">
        <v>14.4</v>
      </c>
      <c r="J142" s="161">
        <v>14.4</v>
      </c>
      <c r="K142" s="161">
        <v>14.1</v>
      </c>
    </row>
    <row r="143" spans="1:11" x14ac:dyDescent="0.25">
      <c r="A143" s="159" t="s">
        <v>20</v>
      </c>
      <c r="B143" s="161">
        <v>20.5</v>
      </c>
      <c r="C143" s="161">
        <v>19.100000000000001</v>
      </c>
      <c r="D143" s="161">
        <v>17.3</v>
      </c>
      <c r="E143" s="161">
        <v>16.899999999999999</v>
      </c>
      <c r="F143" s="161">
        <v>17.100000000000001</v>
      </c>
      <c r="G143" s="161">
        <v>17.600000000000001</v>
      </c>
      <c r="H143" s="161">
        <v>17.7</v>
      </c>
      <c r="I143" s="161">
        <v>17.100000000000001</v>
      </c>
      <c r="J143" s="161">
        <v>17.3</v>
      </c>
      <c r="K143" s="161">
        <v>17</v>
      </c>
    </row>
    <row r="144" spans="1:11" x14ac:dyDescent="0.25">
      <c r="A144" s="159" t="s">
        <v>21</v>
      </c>
      <c r="B144" s="161">
        <v>19.399999999999999</v>
      </c>
      <c r="C144" s="161">
        <v>18.5</v>
      </c>
      <c r="D144" s="161">
        <v>18.100000000000001</v>
      </c>
      <c r="E144" s="161">
        <v>18.5</v>
      </c>
      <c r="F144" s="161">
        <v>17.899999999999999</v>
      </c>
      <c r="G144" s="161">
        <v>17.899999999999999</v>
      </c>
      <c r="H144" s="161">
        <v>18</v>
      </c>
      <c r="I144" s="161">
        <v>17.899999999999999</v>
      </c>
      <c r="J144" s="161">
        <v>18.7</v>
      </c>
      <c r="K144" s="160" t="s">
        <v>699</v>
      </c>
    </row>
    <row r="145" spans="1:11" x14ac:dyDescent="0.25">
      <c r="A145" s="159" t="s">
        <v>22</v>
      </c>
      <c r="B145" s="160" t="s">
        <v>699</v>
      </c>
      <c r="C145" s="160" t="s">
        <v>699</v>
      </c>
      <c r="D145" s="161">
        <v>24.8</v>
      </c>
      <c r="E145" s="161">
        <v>23.4</v>
      </c>
      <c r="F145" s="161">
        <v>22.4</v>
      </c>
      <c r="G145" s="161">
        <v>21.1</v>
      </c>
      <c r="H145" s="161">
        <v>22.2</v>
      </c>
      <c r="I145" s="161">
        <v>22.6</v>
      </c>
      <c r="J145" s="161">
        <v>22.4</v>
      </c>
      <c r="K145" s="160" t="s">
        <v>699</v>
      </c>
    </row>
    <row r="146" spans="1:11" x14ac:dyDescent="0.25">
      <c r="A146" s="159" t="s">
        <v>23</v>
      </c>
      <c r="B146" s="161">
        <v>12.2</v>
      </c>
      <c r="C146" s="161">
        <v>11.6</v>
      </c>
      <c r="D146" s="161">
        <v>11.5</v>
      </c>
      <c r="E146" s="161">
        <v>12.3</v>
      </c>
      <c r="F146" s="161">
        <v>11.3</v>
      </c>
      <c r="G146" s="161">
        <v>12.7</v>
      </c>
      <c r="H146" s="161">
        <v>13.6</v>
      </c>
      <c r="I146" s="161">
        <v>13.5</v>
      </c>
      <c r="J146" s="161">
        <v>14.5</v>
      </c>
      <c r="K146" s="161">
        <v>14.5</v>
      </c>
    </row>
    <row r="147" spans="1:11" x14ac:dyDescent="0.25">
      <c r="A147" s="159" t="s">
        <v>55</v>
      </c>
      <c r="B147" s="161">
        <v>13.3</v>
      </c>
      <c r="C147" s="161">
        <v>11.6</v>
      </c>
      <c r="D147" s="161">
        <v>10.6</v>
      </c>
      <c r="E147" s="161">
        <v>10.9</v>
      </c>
      <c r="F147" s="161">
        <v>11</v>
      </c>
      <c r="G147" s="161">
        <v>12</v>
      </c>
      <c r="H147" s="161">
        <v>13</v>
      </c>
      <c r="I147" s="161">
        <v>13.2</v>
      </c>
      <c r="J147" s="161">
        <v>12.8</v>
      </c>
      <c r="K147" s="161">
        <v>12.6</v>
      </c>
    </row>
    <row r="148" spans="1:11" x14ac:dyDescent="0.25">
      <c r="A148" s="159" t="s">
        <v>8</v>
      </c>
      <c r="B148" s="161">
        <v>11.7</v>
      </c>
      <c r="C148" s="161">
        <v>12.6</v>
      </c>
      <c r="D148" s="161">
        <v>13</v>
      </c>
      <c r="E148" s="161">
        <v>13.6</v>
      </c>
      <c r="F148" s="161">
        <v>13.8</v>
      </c>
      <c r="G148" s="161">
        <v>13.1</v>
      </c>
      <c r="H148" s="161">
        <v>13.7</v>
      </c>
      <c r="I148" s="161">
        <v>13.2</v>
      </c>
      <c r="J148" s="161">
        <v>11.8</v>
      </c>
      <c r="K148" s="161">
        <v>12.8</v>
      </c>
    </row>
    <row r="149" spans="1:11" x14ac:dyDescent="0.25">
      <c r="A149" s="159" t="s">
        <v>25</v>
      </c>
      <c r="B149" s="161">
        <v>9.5</v>
      </c>
      <c r="C149" s="161">
        <v>12.3</v>
      </c>
      <c r="D149" s="161">
        <v>10.5</v>
      </c>
      <c r="E149" s="161">
        <v>12.2</v>
      </c>
      <c r="F149" s="161">
        <v>13.3</v>
      </c>
      <c r="G149" s="161">
        <v>12.9</v>
      </c>
      <c r="H149" s="161">
        <v>14</v>
      </c>
      <c r="I149" s="161">
        <v>14.1</v>
      </c>
      <c r="J149" s="161">
        <v>14.8</v>
      </c>
      <c r="K149" s="160" t="s">
        <v>699</v>
      </c>
    </row>
    <row r="150" spans="1:11" x14ac:dyDescent="0.25">
      <c r="A150" s="159" t="s">
        <v>26</v>
      </c>
      <c r="B150" s="161">
        <v>19</v>
      </c>
      <c r="C150" s="161">
        <v>19</v>
      </c>
      <c r="D150" s="161">
        <v>18.600000000000001</v>
      </c>
      <c r="E150" s="161">
        <v>18.7</v>
      </c>
      <c r="F150" s="161">
        <v>17.3</v>
      </c>
      <c r="G150" s="161">
        <v>17.100000000000001</v>
      </c>
      <c r="H150" s="161">
        <v>16.2</v>
      </c>
      <c r="I150" s="161">
        <v>16</v>
      </c>
      <c r="J150" s="161">
        <v>15.9</v>
      </c>
      <c r="K150" s="160" t="s">
        <v>699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listy</vt:lpstr>
      </vt:variant>
      <vt:variant>
        <vt:i4>9</vt:i4>
      </vt:variant>
      <vt:variant>
        <vt:lpstr>grafy</vt:lpstr>
      </vt:variant>
      <vt:variant>
        <vt:i4>7</vt:i4>
      </vt:variant>
      <vt:variant>
        <vt:lpstr>Pojmenované oblasti</vt:lpstr>
      </vt:variant>
      <vt:variant>
        <vt:i4>34</vt:i4>
      </vt:variant>
    </vt:vector>
  </HeadingPairs>
  <TitlesOfParts>
    <vt:vector size="50" baseType="lpstr">
      <vt:lpstr>Shrnuti EIB</vt:lpstr>
      <vt:lpstr>Souhrnny_graf_input</vt:lpstr>
      <vt:lpstr>SubIndexy_data</vt:lpstr>
      <vt:lpstr>Country_data</vt:lpstr>
      <vt:lpstr>EIB</vt:lpstr>
      <vt:lpstr>Pomocne</vt:lpstr>
      <vt:lpstr>Country_dynamics_data</vt:lpstr>
      <vt:lpstr>PISA_data</vt:lpstr>
      <vt:lpstr>Labor_data</vt:lpstr>
      <vt:lpstr>SummaryChart</vt:lpstr>
      <vt:lpstr>SubIndexy</vt:lpstr>
      <vt:lpstr>Country</vt:lpstr>
      <vt:lpstr>Country_dynamics</vt:lpstr>
      <vt:lpstr>LaborCosts</vt:lpstr>
      <vt:lpstr>PovertyRisk</vt:lpstr>
      <vt:lpstr>PISA_testy</vt:lpstr>
      <vt:lpstr>MetricDescTable</vt:lpstr>
      <vt:lpstr>MetricTitle</vt:lpstr>
      <vt:lpstr>rngCountries</vt:lpstr>
      <vt:lpstr>rngDescription</vt:lpstr>
      <vt:lpstr>rngIndicesList</vt:lpstr>
      <vt:lpstr>rngIndicesSelectedMetric</vt:lpstr>
      <vt:lpstr>rngIndicesSelectedYear</vt:lpstr>
      <vt:lpstr>rngIndicesTable</vt:lpstr>
      <vt:lpstr>rngIndicesYearList</vt:lpstr>
      <vt:lpstr>rngIndicesYearTable</vt:lpstr>
      <vt:lpstr>rngInputTable</vt:lpstr>
      <vt:lpstr>rngMainTitle</vt:lpstr>
      <vt:lpstr>rngMetricDesc</vt:lpstr>
      <vt:lpstr>rngSelectedYear</vt:lpstr>
      <vt:lpstr>rngSourceFinal</vt:lpstr>
      <vt:lpstr>rngStatesFinal</vt:lpstr>
      <vt:lpstr>rngSubIndices</vt:lpstr>
      <vt:lpstr>rngYears</vt:lpstr>
      <vt:lpstr>rngYearsTable</vt:lpstr>
      <vt:lpstr>subIndexFinal</vt:lpstr>
      <vt:lpstr>subIndexRank</vt:lpstr>
      <vt:lpstr>tblBroadband</vt:lpstr>
      <vt:lpstr>tblDocuments</vt:lpstr>
      <vt:lpstr>tblEducExp</vt:lpstr>
      <vt:lpstr>tbleGovernment</vt:lpstr>
      <vt:lpstr>tblEIB</vt:lpstr>
      <vt:lpstr>tblEnglishNames</vt:lpstr>
      <vt:lpstr>tblExports</vt:lpstr>
      <vt:lpstr>tblGraduates</vt:lpstr>
      <vt:lpstr>tblMetricNames</vt:lpstr>
      <vt:lpstr>tblOutput</vt:lpstr>
      <vt:lpstr>tblPatents</vt:lpstr>
      <vt:lpstr>tblRaD</vt:lpstr>
      <vt:lpstr>tblVentureCap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Macháček Vít</dc:creator>
  <cp:lastModifiedBy>Macháček Vít</cp:lastModifiedBy>
  <dcterms:created xsi:type="dcterms:W3CDTF">2015-09-10T11:33:03Z</dcterms:created>
  <dcterms:modified xsi:type="dcterms:W3CDTF">2015-11-03T12:01:56Z</dcterms:modified>
</cp:coreProperties>
</file>